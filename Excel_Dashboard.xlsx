
<file path=[Content_Types].xml><?xml version="1.0" encoding="utf-8"?>
<Types xmlns="http://schemas.openxmlformats.org/package/2006/content-types">
  <Default Extension="png" ContentType="image/png"/>
  <Default Extension="svg" ContentType="image/svg+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DELL\OneDrive\Desktop\"/>
    </mc:Choice>
  </mc:AlternateContent>
  <bookViews>
    <workbookView xWindow="0" yWindow="0" windowWidth="20490" windowHeight="9045" activeTab="1"/>
  </bookViews>
  <sheets>
    <sheet name="Sheet2" sheetId="2" r:id="rId1"/>
    <sheet name="Dashboard" sheetId="3" r:id="rId2"/>
    <sheet name="Sheet4" sheetId="5" r:id="rId3"/>
    <sheet name="Sheet3" sheetId="4" r:id="rId4"/>
    <sheet name="Sheet5" sheetId="6" r:id="rId5"/>
    <sheet name="Sheet6" sheetId="7" r:id="rId6"/>
    <sheet name="Sheet7" sheetId="8" r:id="rId7"/>
    <sheet name="Sheet1" sheetId="1" r:id="rId8"/>
  </sheets>
  <definedNames>
    <definedName name="NativeTimeline_Date">#N/A</definedName>
    <definedName name="Slicer_Item">#N/A</definedName>
    <definedName name="Slicer_Region">#N/A</definedName>
  </definedNames>
  <calcPr calcId="152511"/>
  <pivotCaches>
    <pivotCache cacheId="0" r:id="rId9"/>
  </pivotCaches>
  <extLs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301" i="1" l="1"/>
  <c r="H300" i="1"/>
  <c r="H299" i="1"/>
  <c r="H298" i="1"/>
  <c r="H297" i="1"/>
  <c r="H296" i="1"/>
  <c r="H295" i="1"/>
  <c r="H294" i="1"/>
  <c r="H293" i="1"/>
  <c r="H292" i="1"/>
  <c r="H291" i="1"/>
  <c r="H290" i="1"/>
  <c r="H289" i="1"/>
  <c r="H288" i="1"/>
  <c r="H287" i="1"/>
  <c r="H286" i="1"/>
  <c r="H285" i="1"/>
  <c r="H284" i="1"/>
  <c r="H283" i="1"/>
  <c r="H282" i="1"/>
  <c r="H281" i="1"/>
  <c r="H280" i="1"/>
  <c r="H279" i="1"/>
  <c r="H278" i="1"/>
  <c r="H277" i="1"/>
  <c r="H276" i="1"/>
  <c r="H275" i="1"/>
  <c r="H274" i="1"/>
  <c r="H273" i="1"/>
  <c r="H272" i="1"/>
  <c r="H271" i="1"/>
  <c r="H270" i="1"/>
  <c r="H269" i="1"/>
  <c r="H268" i="1"/>
  <c r="H267" i="1"/>
  <c r="H266" i="1"/>
  <c r="H265" i="1"/>
  <c r="H264" i="1"/>
  <c r="H263" i="1"/>
  <c r="H262" i="1"/>
  <c r="H261" i="1"/>
  <c r="H260" i="1"/>
  <c r="H259" i="1"/>
  <c r="H258" i="1"/>
  <c r="H257" i="1"/>
  <c r="H256" i="1"/>
  <c r="H255" i="1"/>
  <c r="H254" i="1"/>
  <c r="H253" i="1"/>
  <c r="H252" i="1"/>
  <c r="H251" i="1"/>
  <c r="H250" i="1"/>
  <c r="H249" i="1"/>
  <c r="H248" i="1"/>
  <c r="H247" i="1"/>
  <c r="H246" i="1"/>
  <c r="H245" i="1"/>
  <c r="H244" i="1"/>
  <c r="H243" i="1"/>
  <c r="H242" i="1"/>
  <c r="H241" i="1"/>
  <c r="H240" i="1"/>
  <c r="H239" i="1"/>
  <c r="H238" i="1"/>
  <c r="H237" i="1"/>
  <c r="H236" i="1"/>
  <c r="H235" i="1"/>
  <c r="H234" i="1"/>
  <c r="H233" i="1"/>
  <c r="H232" i="1"/>
  <c r="H231" i="1"/>
  <c r="H230" i="1"/>
  <c r="H229" i="1"/>
  <c r="H228" i="1"/>
  <c r="H227" i="1"/>
  <c r="H226" i="1"/>
  <c r="H225" i="1"/>
  <c r="H224" i="1"/>
  <c r="H223" i="1"/>
  <c r="H222" i="1"/>
  <c r="H221" i="1"/>
  <c r="H220" i="1"/>
  <c r="H219" i="1"/>
  <c r="H218" i="1"/>
  <c r="H217" i="1"/>
  <c r="H216" i="1"/>
  <c r="H215" i="1"/>
  <c r="H214" i="1"/>
  <c r="H213" i="1"/>
  <c r="H212" i="1"/>
  <c r="H211" i="1"/>
  <c r="H210" i="1"/>
  <c r="H209" i="1"/>
  <c r="H208" i="1"/>
  <c r="H207" i="1"/>
  <c r="H206" i="1"/>
  <c r="H205" i="1"/>
  <c r="H204" i="1"/>
  <c r="H203" i="1"/>
  <c r="H202" i="1"/>
  <c r="H201" i="1"/>
  <c r="H200" i="1"/>
  <c r="H199" i="1"/>
  <c r="H198" i="1"/>
  <c r="H197" i="1"/>
  <c r="H196" i="1"/>
  <c r="H195" i="1"/>
  <c r="H194" i="1"/>
  <c r="H193" i="1"/>
  <c r="H192" i="1"/>
  <c r="H191" i="1"/>
  <c r="H190" i="1"/>
  <c r="H189" i="1"/>
  <c r="H188" i="1"/>
  <c r="H187" i="1"/>
  <c r="H186" i="1"/>
  <c r="H185" i="1"/>
  <c r="H184" i="1"/>
  <c r="H183" i="1"/>
  <c r="H182" i="1"/>
  <c r="H181" i="1"/>
  <c r="H180" i="1"/>
  <c r="H179" i="1"/>
  <c r="H178" i="1"/>
  <c r="H177" i="1"/>
  <c r="H176" i="1"/>
  <c r="H175" i="1"/>
  <c r="H174" i="1"/>
  <c r="H173" i="1"/>
  <c r="H172" i="1"/>
  <c r="H171" i="1"/>
  <c r="H170" i="1"/>
  <c r="H169" i="1"/>
  <c r="H168" i="1"/>
  <c r="H167" i="1"/>
  <c r="H166" i="1"/>
  <c r="H165" i="1"/>
  <c r="H164" i="1"/>
  <c r="H163" i="1"/>
  <c r="H162" i="1"/>
  <c r="H161" i="1"/>
  <c r="H160" i="1"/>
  <c r="H159" i="1"/>
  <c r="H158" i="1"/>
  <c r="H157" i="1"/>
  <c r="H156" i="1"/>
  <c r="H155" i="1"/>
  <c r="H154" i="1"/>
  <c r="H153" i="1"/>
  <c r="H152" i="1"/>
  <c r="H151" i="1"/>
  <c r="H150" i="1"/>
  <c r="H149" i="1"/>
  <c r="H148" i="1"/>
  <c r="H147" i="1"/>
  <c r="H146" i="1"/>
  <c r="H145" i="1"/>
  <c r="H144" i="1"/>
  <c r="H143" i="1"/>
  <c r="H142" i="1"/>
  <c r="H141" i="1"/>
  <c r="H140" i="1"/>
  <c r="H139" i="1"/>
  <c r="H138" i="1"/>
  <c r="H137" i="1"/>
  <c r="H136" i="1"/>
  <c r="H135" i="1"/>
  <c r="H134" i="1"/>
  <c r="H133" i="1"/>
  <c r="H132" i="1"/>
  <c r="H131" i="1"/>
  <c r="H130" i="1"/>
  <c r="H129" i="1"/>
  <c r="H128" i="1"/>
  <c r="H127" i="1"/>
  <c r="H126" i="1"/>
  <c r="H125" i="1"/>
  <c r="H124" i="1"/>
  <c r="H123" i="1"/>
  <c r="H122" i="1"/>
  <c r="H121" i="1"/>
  <c r="H120" i="1"/>
  <c r="H119" i="1"/>
  <c r="H118" i="1"/>
  <c r="H117" i="1"/>
  <c r="H116" i="1"/>
  <c r="H115" i="1"/>
  <c r="H114" i="1"/>
  <c r="H113" i="1"/>
  <c r="H112" i="1"/>
  <c r="H111" i="1"/>
  <c r="H110" i="1"/>
  <c r="H109" i="1"/>
  <c r="H108" i="1"/>
  <c r="H107" i="1"/>
  <c r="H106" i="1"/>
  <c r="H105" i="1"/>
  <c r="H104" i="1"/>
  <c r="H103" i="1"/>
  <c r="H102" i="1"/>
  <c r="H101" i="1"/>
  <c r="H100" i="1"/>
  <c r="H99" i="1"/>
  <c r="H98" i="1"/>
  <c r="H97" i="1"/>
  <c r="H96" i="1"/>
  <c r="H95" i="1"/>
  <c r="H94" i="1"/>
  <c r="H93" i="1"/>
  <c r="H92" i="1"/>
  <c r="H91" i="1"/>
  <c r="H90" i="1"/>
  <c r="H89" i="1"/>
  <c r="H88" i="1"/>
  <c r="H87" i="1"/>
  <c r="H86" i="1"/>
  <c r="H85" i="1"/>
  <c r="H84" i="1"/>
  <c r="H83" i="1"/>
  <c r="H82" i="1"/>
  <c r="H81" i="1"/>
  <c r="H80" i="1"/>
  <c r="H79" i="1"/>
  <c r="H78" i="1"/>
  <c r="H77" i="1"/>
  <c r="H76" i="1"/>
  <c r="H75" i="1"/>
  <c r="H74" i="1"/>
  <c r="H73" i="1"/>
  <c r="H72" i="1"/>
  <c r="H71" i="1"/>
  <c r="H70" i="1"/>
  <c r="H69" i="1"/>
  <c r="H68" i="1"/>
  <c r="H67" i="1"/>
  <c r="H66" i="1"/>
  <c r="H65" i="1"/>
  <c r="H64" i="1"/>
  <c r="H63" i="1"/>
  <c r="H62" i="1"/>
  <c r="H61" i="1"/>
  <c r="H60" i="1"/>
  <c r="H59" i="1"/>
  <c r="H58" i="1"/>
  <c r="H57" i="1"/>
  <c r="H56" i="1"/>
  <c r="H55" i="1"/>
  <c r="H54" i="1"/>
  <c r="H53" i="1"/>
  <c r="H52" i="1"/>
  <c r="H51" i="1"/>
  <c r="H50" i="1"/>
  <c r="H49" i="1"/>
  <c r="H48" i="1"/>
  <c r="H47" i="1"/>
  <c r="H46" i="1"/>
  <c r="H45" i="1"/>
  <c r="H44" i="1"/>
  <c r="H43" i="1"/>
  <c r="H42" i="1"/>
  <c r="H41" i="1"/>
  <c r="H40" i="1"/>
  <c r="H39" i="1"/>
  <c r="H38" i="1"/>
  <c r="H37" i="1"/>
  <c r="H36" i="1"/>
  <c r="H35" i="1"/>
  <c r="H34" i="1"/>
  <c r="H33" i="1"/>
  <c r="H32" i="1"/>
  <c r="H31" i="1"/>
  <c r="H30" i="1"/>
  <c r="H29" i="1"/>
  <c r="H28" i="1"/>
  <c r="H27" i="1"/>
  <c r="H26" i="1"/>
  <c r="H25" i="1"/>
  <c r="H24" i="1"/>
  <c r="H23" i="1"/>
  <c r="H22" i="1"/>
  <c r="H21" i="1"/>
  <c r="H20" i="1"/>
  <c r="H19" i="1"/>
  <c r="H18" i="1"/>
  <c r="H17" i="1"/>
  <c r="H16" i="1"/>
  <c r="H15" i="1"/>
  <c r="H14" i="1"/>
  <c r="H13" i="1"/>
  <c r="H12" i="1"/>
  <c r="H11" i="1"/>
  <c r="H10" i="1"/>
  <c r="H9" i="1"/>
  <c r="H8" i="1"/>
  <c r="H7" i="1"/>
  <c r="H6" i="1"/>
  <c r="H5" i="1"/>
  <c r="H4" i="1"/>
  <c r="H3" i="1"/>
  <c r="H2" i="1"/>
  <c r="B9" i="2"/>
  <c r="B4" i="2"/>
</calcChain>
</file>

<file path=xl/sharedStrings.xml><?xml version="1.0" encoding="utf-8"?>
<sst xmlns="http://schemas.openxmlformats.org/spreadsheetml/2006/main" count="1110" uniqueCount="26">
  <si>
    <t>Sr.No</t>
  </si>
  <si>
    <t>Date</t>
  </si>
  <si>
    <t>Salesman</t>
  </si>
  <si>
    <t>Region</t>
  </si>
  <si>
    <t>Item</t>
  </si>
  <si>
    <t>Qty</t>
  </si>
  <si>
    <t>Price</t>
  </si>
  <si>
    <t>Amount</t>
  </si>
  <si>
    <t>Vijay</t>
  </si>
  <si>
    <t>East</t>
  </si>
  <si>
    <t>Mouse</t>
  </si>
  <si>
    <t>Aman</t>
  </si>
  <si>
    <t>West</t>
  </si>
  <si>
    <t>Printer</t>
  </si>
  <si>
    <t>Rohit</t>
  </si>
  <si>
    <t>Moniter</t>
  </si>
  <si>
    <t>Ankit</t>
  </si>
  <si>
    <t>Scanner</t>
  </si>
  <si>
    <t>Mohit</t>
  </si>
  <si>
    <t>Speaker</t>
  </si>
  <si>
    <t xml:space="preserve">Ajit </t>
  </si>
  <si>
    <t>Keyboard</t>
  </si>
  <si>
    <t>Sum of Qty</t>
  </si>
  <si>
    <t>Sum of Amount</t>
  </si>
  <si>
    <t>Row Labels</t>
  </si>
  <si>
    <t>Grand Total</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</si>
</sst>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5" tint="0.399975585192419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
    <xf numFmtId="0" fontId="0" fillId="0" borderId="0" xfId="0"/>
    <xf numFmtId="0" fontId="1" fillId="2" borderId="1" xfId="0" applyFont="1" applyFill="1" applyBorder="1"/>
    <xf numFmtId="0" fontId="0" fillId="0" borderId="1" xfId="0" applyBorder="1"/>
    <xf numFmtId="14" fontId="0" fillId="0" borderId="1" xfId="0" applyNumberFormat="1" applyBorder="1"/>
    <xf numFmtId="0" fontId="0" fillId="0" borderId="0" xfId="0" applyNumberFormat="1"/>
    <xf numFmtId="0" fontId="0" fillId="0" borderId="0" xfId="0" pivotButton="1"/>
    <xf numFmtId="0" fontId="0" fillId="0" borderId="0" xfId="0" applyAlignment="1">
      <alignment horizontal="left"/>
    </xf>
    <xf numFmtId="14" fontId="0" fillId="0" borderId="0" xfId="0" applyNumberFormat="1"/>
  </cellXfs>
  <cellStyles count="1">
    <cellStyle name="Normal" xfId="0" builtinId="0"/>
  </cellStyles>
  <dxfs count="1">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[Excel_Dashboard.xlsx]Sheet2!PivotTable3</c:name>
    <c:fmtId val="6"/>
  </c:pivotSource>
  <c:chart>
    <c:autoTitleDeleted val="1"/>
    <c:pivotFmts>
      <c:pivotFmt>
        <c:idx val="0"/>
        <c:dLbl>
          <c:idx val="0"/>
          <c:dLblPos val="ct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dLbl>
          <c:idx val="0"/>
          <c:dLblPos val="ct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stacked"/>
        <c:varyColors val="0"/>
        <c:ser>
          <c:idx val="0"/>
          <c:order val="0"/>
          <c:tx>
            <c:strRef>
              <c:f>Sheet2!$F$1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Sheet2!$E$2:$E$8</c:f>
              <c:strCache>
                <c:ptCount val="6"/>
                <c:pt idx="0">
                  <c:v>Ajit </c:v>
                </c:pt>
                <c:pt idx="1">
                  <c:v>Aman</c:v>
                </c:pt>
                <c:pt idx="2">
                  <c:v>Ankit</c:v>
                </c:pt>
                <c:pt idx="3">
                  <c:v>Mohit</c:v>
                </c:pt>
                <c:pt idx="4">
                  <c:v>Rohit</c:v>
                </c:pt>
                <c:pt idx="5">
                  <c:v>Vijay</c:v>
                </c:pt>
              </c:strCache>
            </c:strRef>
          </c:cat>
          <c:val>
            <c:numRef>
              <c:f>Sheet2!$F$2:$F$8</c:f>
              <c:numCache>
                <c:formatCode>General</c:formatCode>
                <c:ptCount val="6"/>
                <c:pt idx="0">
                  <c:v>93600</c:v>
                </c:pt>
                <c:pt idx="1">
                  <c:v>546000</c:v>
                </c:pt>
                <c:pt idx="2">
                  <c:v>303000</c:v>
                </c:pt>
                <c:pt idx="3">
                  <c:v>72250</c:v>
                </c:pt>
                <c:pt idx="4">
                  <c:v>770000</c:v>
                </c:pt>
                <c:pt idx="5">
                  <c:v>61740</c:v>
                </c:pt>
              </c:numCache>
            </c:numRef>
          </c:val>
          <c:extLst xmlns:c16r2="http://schemas.microsoft.com/office/drawing/2015/06/chart">
            <c:ext xmlns:c16="http://schemas.microsoft.com/office/drawing/2014/chart" uri="{C3380CC4-5D6E-409C-BE32-E72D297353CC}">
              <c16:uniqueId val="{00000000-7FF8-4AA6-B49C-C13DE9DE51D2}"/>
            </c:ext>
          </c:extLst>
        </c:ser>
        <c:dLbls>
          <c:dLblPos val="ctr"/>
          <c:showLegendKey val="0"/>
          <c:showVal val="1"/>
          <c:showCatName val="0"/>
          <c:showSerName val="0"/>
          <c:showPercent val="0"/>
          <c:showBubbleSize val="0"/>
        </c:dLbls>
        <c:gapWidth val="150"/>
        <c:overlap val="100"/>
        <c:axId val="360771992"/>
        <c:axId val="360766896"/>
      </c:barChart>
      <c:catAx>
        <c:axId val="36077199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60766896"/>
        <c:crosses val="autoZero"/>
        <c:auto val="1"/>
        <c:lblAlgn val="ctr"/>
        <c:lblOffset val="100"/>
        <c:noMultiLvlLbl val="0"/>
      </c:catAx>
      <c:valAx>
        <c:axId val="36076689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cap="none" spc="50" baseline="0">
                <a:ln w="0"/>
                <a:solidFill>
                  <a:schemeClr val="bg2"/>
                </a:solidFill>
                <a:effectLst>
                  <a:innerShdw blurRad="63500" dist="50800" dir="13500000">
                    <a:srgbClr val="000000">
                      <a:alpha val="50000"/>
                    </a:srgbClr>
                  </a:innerShdw>
                </a:effectLst>
                <a:latin typeface="+mn-lt"/>
                <a:ea typeface="+mn-ea"/>
                <a:cs typeface="+mn-cs"/>
              </a:defRPr>
            </a:pPr>
            <a:endParaRPr lang="en-US"/>
          </a:p>
        </c:txPr>
        <c:crossAx val="360771992"/>
        <c:crosses val="autoZero"/>
        <c:crossBetween val="between"/>
      </c:valAx>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[Excel_Dashboard.xlsx]Sheet5!PivotTable1</c:name>
    <c:fmtId val="12"/>
  </c:pivotSource>
  <c:chart>
    <c:autoTitleDeleted val="1"/>
    <c:pivotFmts>
      <c:pivotFmt>
        <c:idx val="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10335870516185477"/>
          <c:y val="2.5428331875182269E-2"/>
          <c:w val="0.85219685039370074"/>
          <c:h val="0.88797098279381748"/>
        </c:manualLayout>
      </c:layout>
      <c:barChart>
        <c:barDir val="col"/>
        <c:grouping val="stacked"/>
        <c:varyColors val="0"/>
        <c:ser>
          <c:idx val="0"/>
          <c:order val="0"/>
          <c:tx>
            <c:strRef>
              <c:f>Sheet5!$B$3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Sheet5!$A$4:$A$10</c:f>
              <c:strCache>
                <c:ptCount val="6"/>
                <c:pt idx="0">
                  <c:v>Keyboard</c:v>
                </c:pt>
                <c:pt idx="1">
                  <c:v>Moniter</c:v>
                </c:pt>
                <c:pt idx="2">
                  <c:v>Mouse</c:v>
                </c:pt>
                <c:pt idx="3">
                  <c:v>Printer</c:v>
                </c:pt>
                <c:pt idx="4">
                  <c:v>Scanner</c:v>
                </c:pt>
                <c:pt idx="5">
                  <c:v>Speaker</c:v>
                </c:pt>
              </c:strCache>
            </c:strRef>
          </c:cat>
          <c:val>
            <c:numRef>
              <c:f>Sheet5!$B$4:$B$10</c:f>
              <c:numCache>
                <c:formatCode>General</c:formatCode>
                <c:ptCount val="6"/>
                <c:pt idx="0">
                  <c:v>93600</c:v>
                </c:pt>
                <c:pt idx="1">
                  <c:v>770000</c:v>
                </c:pt>
                <c:pt idx="2">
                  <c:v>61740</c:v>
                </c:pt>
                <c:pt idx="3">
                  <c:v>546000</c:v>
                </c:pt>
                <c:pt idx="4">
                  <c:v>303000</c:v>
                </c:pt>
                <c:pt idx="5">
                  <c:v>72250</c:v>
                </c:pt>
              </c:numCache>
            </c:numRef>
          </c:val>
        </c:ser>
        <c:dLbls>
          <c:dLblPos val="ctr"/>
          <c:showLegendKey val="0"/>
          <c:showVal val="1"/>
          <c:showCatName val="0"/>
          <c:showSerName val="0"/>
          <c:showPercent val="0"/>
          <c:showBubbleSize val="0"/>
        </c:dLbls>
        <c:gapWidth val="150"/>
        <c:overlap val="100"/>
        <c:axId val="360771600"/>
        <c:axId val="360773560"/>
      </c:barChart>
      <c:catAx>
        <c:axId val="36077160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60773560"/>
        <c:crosses val="autoZero"/>
        <c:auto val="1"/>
        <c:lblAlgn val="ctr"/>
        <c:lblOffset val="100"/>
        <c:noMultiLvlLbl val="0"/>
      </c:catAx>
      <c:valAx>
        <c:axId val="36077356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60771600"/>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[Excel_Dashboard.xlsx]Sheet7!PivotTable4</c:name>
    <c:fmtId val="12"/>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Sheet7!$B$3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cat>
            <c:strRef>
              <c:f>Sheet7!$A$4:$A$6</c:f>
              <c:strCache>
                <c:ptCount val="2"/>
                <c:pt idx="0">
                  <c:v>East</c:v>
                </c:pt>
                <c:pt idx="1">
                  <c:v>West</c:v>
                </c:pt>
              </c:strCache>
            </c:strRef>
          </c:cat>
          <c:val>
            <c:numRef>
              <c:f>Sheet7!$B$4:$B$6</c:f>
              <c:numCache>
                <c:formatCode>General</c:formatCode>
                <c:ptCount val="2"/>
                <c:pt idx="0">
                  <c:v>997590</c:v>
                </c:pt>
                <c:pt idx="1">
                  <c:v>849000</c:v>
                </c:pt>
              </c:numCache>
            </c:numRef>
          </c:val>
        </c:ser>
        <c:dLbls>
          <c:showLegendKey val="0"/>
          <c:showVal val="0"/>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7" Type="http://schemas.openxmlformats.org/officeDocument/2006/relationships/chart" Target="../charts/chart3.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2.xml"/><Relationship Id="rId5" Type="http://schemas.openxmlformats.org/officeDocument/2006/relationships/chart" Target="../charts/chart1.xml"/><Relationship Id="rId4" Type="http://schemas.openxmlformats.org/officeDocument/2006/relationships/image" Target="../media/image4.svg"/></Relationships>
</file>

<file path=xl/drawings/drawing1.xml><?xml version="1.0" encoding="utf-8"?>
<xdr:wsDr xmlns:xdr="http://schemas.openxmlformats.org/drawingml/2006/spreadsheetDrawing" xmlns:a="http://schemas.openxmlformats.org/drawingml/2006/main">
  <xdr:twoCellAnchor>
    <xdr:from>
      <xdr:col>0</xdr:col>
      <xdr:colOff>0</xdr:colOff>
      <xdr:row>1</xdr:row>
      <xdr:rowOff>123825</xdr:rowOff>
    </xdr:from>
    <xdr:to>
      <xdr:col>21</xdr:col>
      <xdr:colOff>419100</xdr:colOff>
      <xdr:row>27</xdr:row>
      <xdr:rowOff>104775</xdr:rowOff>
    </xdr:to>
    <xdr:sp macro="" textlink="">
      <xdr:nvSpPr>
        <xdr:cNvPr id="2" name="Rectangle 1">
          <a:extLst>
            <a:ext uri="{FF2B5EF4-FFF2-40B4-BE49-F238E27FC236}">
              <a16:creationId xmlns="" xmlns:a16="http://schemas.microsoft.com/office/drawing/2014/main" id="{8A2CD0CE-98DA-EC50-BDEF-E7A0F2EC4A6E}"/>
            </a:ext>
          </a:extLst>
        </xdr:cNvPr>
        <xdr:cNvSpPr/>
      </xdr:nvSpPr>
      <xdr:spPr>
        <a:xfrm>
          <a:off x="0" y="314325"/>
          <a:ext cx="13220700" cy="4933950"/>
        </a:xfrm>
        <a:prstGeom prst="rect">
          <a:avLst/>
        </a:prstGeom>
      </xdr:spPr>
      <xdr:style>
        <a:lnRef idx="2">
          <a:schemeClr val="accent3"/>
        </a:lnRef>
        <a:fillRef idx="1002">
          <a:schemeClr val="dk1"/>
        </a:fillRef>
        <a:effectRef idx="0">
          <a:schemeClr val="accent3"/>
        </a:effectRef>
        <a:fontRef idx="minor">
          <a:schemeClr val="dk1"/>
        </a:fontRef>
      </xdr:style>
      <xdr:txBody>
        <a:bodyPr vertOverflow="clip" horzOverflow="clip" rtlCol="0" anchor="t"/>
        <a:lstStyle/>
        <a:p>
          <a:pPr algn="l"/>
          <a:r>
            <a:rPr lang="en-IN" sz="1100"/>
            <a:t>S</a:t>
          </a:r>
        </a:p>
      </xdr:txBody>
    </xdr:sp>
    <xdr:clientData/>
  </xdr:twoCellAnchor>
  <xdr:twoCellAnchor editAs="oneCell">
    <xdr:from>
      <xdr:col>0</xdr:col>
      <xdr:colOff>12699</xdr:colOff>
      <xdr:row>0</xdr:row>
      <xdr:rowOff>19050</xdr:rowOff>
    </xdr:from>
    <xdr:to>
      <xdr:col>9</xdr:col>
      <xdr:colOff>295274</xdr:colOff>
      <xdr:row>7</xdr:row>
      <xdr:rowOff>101600</xdr:rowOff>
    </xdr:to>
    <mc:AlternateContent xmlns:mc="http://schemas.openxmlformats.org/markup-compatibility/2006" xmlns:tsle="http://schemas.microsoft.com/office/drawing/2012/timeslicer">
      <mc:Choice Requires="tsle">
        <xdr:graphicFrame macro="">
          <xdr:nvGraphicFramePr>
            <xdr:cNvPr id="3" name="Date">
              <a:extLst>
                <a:ext uri="{FF2B5EF4-FFF2-40B4-BE49-F238E27FC236}">
                  <a16:creationId xmlns="" xmlns:a16="http://schemas.microsoft.com/office/drawing/2014/main" id="{D67FEC19-7A26-43A0-992F-5BE82A2FBBC4}"/>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12700" y="19050"/>
              <a:ext cx="563245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9</xdr:col>
      <xdr:colOff>285750</xdr:colOff>
      <xdr:row>0</xdr:row>
      <xdr:rowOff>28576</xdr:rowOff>
    </xdr:from>
    <xdr:to>
      <xdr:col>15</xdr:col>
      <xdr:colOff>590550</xdr:colOff>
      <xdr:row>7</xdr:row>
      <xdr:rowOff>98426</xdr:rowOff>
    </xdr:to>
    <mc:AlternateContent xmlns:mc="http://schemas.openxmlformats.org/markup-compatibility/2006" xmlns:a14="http://schemas.microsoft.com/office/drawing/2010/main">
      <mc:Choice Requires="a14">
        <xdr:graphicFrame macro="">
          <xdr:nvGraphicFramePr>
            <xdr:cNvPr id="4" name="Item">
              <a:extLst>
                <a:ext uri="{FF2B5EF4-FFF2-40B4-BE49-F238E27FC236}">
                  <a16:creationId xmlns="" xmlns:a16="http://schemas.microsoft.com/office/drawing/2014/main" id="{BEB27C8C-400C-4525-A226-F37D7EF36A05}"/>
                </a:ext>
              </a:extLst>
            </xdr:cNvPr>
            <xdr:cNvGraphicFramePr/>
          </xdr:nvGraphicFramePr>
          <xdr:xfrm>
            <a:off x="0" y="0"/>
            <a:ext cx="0" cy="0"/>
          </xdr:xfrm>
          <a:graphic>
            <a:graphicData uri="http://schemas.microsoft.com/office/drawing/2010/slicer">
              <sle:slicer xmlns:sle="http://schemas.microsoft.com/office/drawing/2010/slicer" name="Item"/>
            </a:graphicData>
          </a:graphic>
        </xdr:graphicFrame>
      </mc:Choice>
      <mc:Fallback xmlns="">
        <xdr:sp macro="" textlink="">
          <xdr:nvSpPr>
            <xdr:cNvPr id="0" name=""/>
            <xdr:cNvSpPr>
              <a:spLocks noTextEdit="1"/>
            </xdr:cNvSpPr>
          </xdr:nvSpPr>
          <xdr:spPr>
            <a:xfrm>
              <a:off x="5918200" y="28576"/>
              <a:ext cx="3816350" cy="14033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561975</xdr:colOff>
      <xdr:row>0</xdr:row>
      <xdr:rowOff>31751</xdr:rowOff>
    </xdr:from>
    <xdr:to>
      <xdr:col>20</xdr:col>
      <xdr:colOff>447674</xdr:colOff>
      <xdr:row>7</xdr:row>
      <xdr:rowOff>88901</xdr:rowOff>
    </xdr:to>
    <mc:AlternateContent xmlns:mc="http://schemas.openxmlformats.org/markup-compatibility/2006" xmlns:a14="http://schemas.microsoft.com/office/drawing/2010/main">
      <mc:Choice Requires="a14">
        <xdr:graphicFrame macro="">
          <xdr:nvGraphicFramePr>
            <xdr:cNvPr id="5" name="Region">
              <a:extLst>
                <a:ext uri="{FF2B5EF4-FFF2-40B4-BE49-F238E27FC236}">
                  <a16:creationId xmlns="" xmlns:a16="http://schemas.microsoft.com/office/drawing/2014/main" id="{0C413DD8-684C-4558-85AA-46CE8BCCBF4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9925049" y="31751"/>
              <a:ext cx="2714625" cy="13906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63500</xdr:colOff>
      <xdr:row>7</xdr:row>
      <xdr:rowOff>133349</xdr:rowOff>
    </xdr:from>
    <xdr:to>
      <xdr:col>3</xdr:col>
      <xdr:colOff>298450</xdr:colOff>
      <xdr:row>12</xdr:row>
      <xdr:rowOff>9524</xdr:rowOff>
    </xdr:to>
    <xdr:grpSp>
      <xdr:nvGrpSpPr>
        <xdr:cNvPr id="8" name="Group 7">
          <a:extLst>
            <a:ext uri="{FF2B5EF4-FFF2-40B4-BE49-F238E27FC236}">
              <a16:creationId xmlns="" xmlns:a16="http://schemas.microsoft.com/office/drawing/2014/main" id="{E797D610-F023-F194-3178-AF2DA2B76888}"/>
            </a:ext>
          </a:extLst>
        </xdr:cNvPr>
        <xdr:cNvGrpSpPr/>
      </xdr:nvGrpSpPr>
      <xdr:grpSpPr>
        <a:xfrm>
          <a:off x="63500" y="1466849"/>
          <a:ext cx="2063750" cy="828675"/>
          <a:chOff x="63500" y="1422400"/>
          <a:chExt cx="2063750" cy="584200"/>
        </a:xfrm>
        <a:solidFill>
          <a:schemeClr val="tx1">
            <a:lumMod val="65000"/>
            <a:lumOff val="35000"/>
          </a:schemeClr>
        </a:solidFill>
      </xdr:grpSpPr>
      <xdr:sp macro="" textlink="">
        <xdr:nvSpPr>
          <xdr:cNvPr id="6" name="Rectangle: Rounded Corners 5">
            <a:extLst>
              <a:ext uri="{FF2B5EF4-FFF2-40B4-BE49-F238E27FC236}">
                <a16:creationId xmlns="" xmlns:a16="http://schemas.microsoft.com/office/drawing/2014/main" id="{70C24369-1EDF-B4AA-6A0F-214720AAA0B5}"/>
              </a:ext>
            </a:extLst>
          </xdr:cNvPr>
          <xdr:cNvSpPr/>
        </xdr:nvSpPr>
        <xdr:spPr>
          <a:xfrm>
            <a:off x="63500" y="1422400"/>
            <a:ext cx="1917700" cy="584200"/>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7" name="Rectangle: Rounded Corners 6">
            <a:extLst>
              <a:ext uri="{FF2B5EF4-FFF2-40B4-BE49-F238E27FC236}">
                <a16:creationId xmlns="" xmlns:a16="http://schemas.microsoft.com/office/drawing/2014/main" id="{555CC7EC-24C5-4537-B9AB-26796FDBBD31}"/>
              </a:ext>
            </a:extLst>
          </xdr:cNvPr>
          <xdr:cNvSpPr/>
        </xdr:nvSpPr>
        <xdr:spPr>
          <a:xfrm>
            <a:off x="209550" y="1422400"/>
            <a:ext cx="1917700" cy="584200"/>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4</xdr:col>
      <xdr:colOff>222250</xdr:colOff>
      <xdr:row>7</xdr:row>
      <xdr:rowOff>146049</xdr:rowOff>
    </xdr:from>
    <xdr:to>
      <xdr:col>7</xdr:col>
      <xdr:colOff>457200</xdr:colOff>
      <xdr:row>12</xdr:row>
      <xdr:rowOff>47624</xdr:rowOff>
    </xdr:to>
    <xdr:grpSp>
      <xdr:nvGrpSpPr>
        <xdr:cNvPr id="9" name="Group 8">
          <a:extLst>
            <a:ext uri="{FF2B5EF4-FFF2-40B4-BE49-F238E27FC236}">
              <a16:creationId xmlns="" xmlns:a16="http://schemas.microsoft.com/office/drawing/2014/main" id="{1C03A0B9-7A13-4811-ADB5-0FB646931E7E}"/>
            </a:ext>
          </a:extLst>
        </xdr:cNvPr>
        <xdr:cNvGrpSpPr/>
      </xdr:nvGrpSpPr>
      <xdr:grpSpPr>
        <a:xfrm>
          <a:off x="2660650" y="1479549"/>
          <a:ext cx="2063750" cy="854075"/>
          <a:chOff x="63500" y="1422400"/>
          <a:chExt cx="2063750" cy="584200"/>
        </a:xfrm>
        <a:solidFill>
          <a:schemeClr val="tx1">
            <a:lumMod val="65000"/>
            <a:lumOff val="35000"/>
          </a:schemeClr>
        </a:solidFill>
      </xdr:grpSpPr>
      <xdr:sp macro="" textlink="">
        <xdr:nvSpPr>
          <xdr:cNvPr id="10" name="Rectangle: Rounded Corners 9">
            <a:extLst>
              <a:ext uri="{FF2B5EF4-FFF2-40B4-BE49-F238E27FC236}">
                <a16:creationId xmlns="" xmlns:a16="http://schemas.microsoft.com/office/drawing/2014/main" id="{02CECA2F-C623-6F4C-5EDA-FB45184971EA}"/>
              </a:ext>
            </a:extLst>
          </xdr:cNvPr>
          <xdr:cNvSpPr/>
        </xdr:nvSpPr>
        <xdr:spPr>
          <a:xfrm>
            <a:off x="63500" y="1422400"/>
            <a:ext cx="1917700" cy="584200"/>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1" name="Rectangle: Rounded Corners 10">
            <a:extLst>
              <a:ext uri="{FF2B5EF4-FFF2-40B4-BE49-F238E27FC236}">
                <a16:creationId xmlns="" xmlns:a16="http://schemas.microsoft.com/office/drawing/2014/main" id="{0FE0317A-5C96-BA9B-90B3-1ED58B925AF9}"/>
              </a:ext>
            </a:extLst>
          </xdr:cNvPr>
          <xdr:cNvSpPr/>
        </xdr:nvSpPr>
        <xdr:spPr>
          <a:xfrm>
            <a:off x="209550" y="1422400"/>
            <a:ext cx="1917700" cy="584200"/>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editAs="oneCell">
    <xdr:from>
      <xdr:col>0</xdr:col>
      <xdr:colOff>203200</xdr:colOff>
      <xdr:row>8</xdr:row>
      <xdr:rowOff>12700</xdr:rowOff>
    </xdr:from>
    <xdr:to>
      <xdr:col>1</xdr:col>
      <xdr:colOff>63500</xdr:colOff>
      <xdr:row>10</xdr:row>
      <xdr:rowOff>114300</xdr:rowOff>
    </xdr:to>
    <xdr:pic>
      <xdr:nvPicPr>
        <xdr:cNvPr id="13" name="Graphic 12" descr="Bar graph with upward trend">
          <a:extLst>
            <a:ext uri="{FF2B5EF4-FFF2-40B4-BE49-F238E27FC236}">
              <a16:creationId xmlns="" xmlns:a16="http://schemas.microsoft.com/office/drawing/2014/main" id="{D50897C9-0B1D-E986-C7F2-ED050B2D18D3}"/>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203200" y="1485900"/>
          <a:ext cx="469900" cy="469900"/>
        </a:xfrm>
        <a:prstGeom prst="rect">
          <a:avLst/>
        </a:prstGeom>
      </xdr:spPr>
    </xdr:pic>
    <xdr:clientData/>
  </xdr:twoCellAnchor>
  <xdr:twoCellAnchor>
    <xdr:from>
      <xdr:col>1</xdr:col>
      <xdr:colOff>260350</xdr:colOff>
      <xdr:row>7</xdr:row>
      <xdr:rowOff>158750</xdr:rowOff>
    </xdr:from>
    <xdr:to>
      <xdr:col>3</xdr:col>
      <xdr:colOff>120650</xdr:colOff>
      <xdr:row>9</xdr:row>
      <xdr:rowOff>44450</xdr:rowOff>
    </xdr:to>
    <xdr:sp macro="" textlink="">
      <xdr:nvSpPr>
        <xdr:cNvPr id="14" name="TextBox 13">
          <a:extLst>
            <a:ext uri="{FF2B5EF4-FFF2-40B4-BE49-F238E27FC236}">
              <a16:creationId xmlns="" xmlns:a16="http://schemas.microsoft.com/office/drawing/2014/main" id="{C4C9DE4D-B1B0-29E8-17EC-12E21932CEE5}"/>
            </a:ext>
          </a:extLst>
        </xdr:cNvPr>
        <xdr:cNvSpPr txBox="1"/>
      </xdr:nvSpPr>
      <xdr:spPr>
        <a:xfrm>
          <a:off x="869950" y="1447800"/>
          <a:ext cx="1079500" cy="254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rgbClr val="FF0000"/>
              </a:solidFill>
            </a:rPr>
            <a:t>Total Qty</a:t>
          </a:r>
        </a:p>
      </xdr:txBody>
    </xdr:sp>
    <xdr:clientData/>
  </xdr:twoCellAnchor>
  <xdr:twoCellAnchor>
    <xdr:from>
      <xdr:col>1</xdr:col>
      <xdr:colOff>285750</xdr:colOff>
      <xdr:row>9</xdr:row>
      <xdr:rowOff>6350</xdr:rowOff>
    </xdr:from>
    <xdr:to>
      <xdr:col>3</xdr:col>
      <xdr:colOff>38100</xdr:colOff>
      <xdr:row>10</xdr:row>
      <xdr:rowOff>114300</xdr:rowOff>
    </xdr:to>
    <xdr:sp macro="" textlink="Sheet2!B4">
      <xdr:nvSpPr>
        <xdr:cNvPr id="15" name="TextBox 14">
          <a:extLst>
            <a:ext uri="{FF2B5EF4-FFF2-40B4-BE49-F238E27FC236}">
              <a16:creationId xmlns="" xmlns:a16="http://schemas.microsoft.com/office/drawing/2014/main" id="{8B38B5DC-34AA-AFCF-C218-01F449E3C4A9}"/>
            </a:ext>
          </a:extLst>
        </xdr:cNvPr>
        <xdr:cNvSpPr txBox="1"/>
      </xdr:nvSpPr>
      <xdr:spPr>
        <a:xfrm>
          <a:off x="895350" y="1663700"/>
          <a:ext cx="971550" cy="292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51E83D52-66E6-4090-ADF4-1E6E462B5FCE}" type="TxLink">
            <a:rPr lang="en-US" sz="2400" b="1" i="0" u="none" strike="noStrike">
              <a:solidFill>
                <a:schemeClr val="bg1"/>
              </a:solidFill>
              <a:latin typeface="Calibri"/>
              <a:cs typeface="Calibri"/>
            </a:rPr>
            <a:pPr/>
            <a:t>1779</a:t>
          </a:fld>
          <a:endParaRPr lang="en-IN" sz="2400" b="1">
            <a:solidFill>
              <a:schemeClr val="bg1"/>
            </a:solidFill>
          </a:endParaRPr>
        </a:p>
      </xdr:txBody>
    </xdr:sp>
    <xdr:clientData/>
  </xdr:twoCellAnchor>
  <xdr:twoCellAnchor>
    <xdr:from>
      <xdr:col>5</xdr:col>
      <xdr:colOff>431800</xdr:colOff>
      <xdr:row>7</xdr:row>
      <xdr:rowOff>114300</xdr:rowOff>
    </xdr:from>
    <xdr:to>
      <xdr:col>7</xdr:col>
      <xdr:colOff>292100</xdr:colOff>
      <xdr:row>9</xdr:row>
      <xdr:rowOff>0</xdr:rowOff>
    </xdr:to>
    <xdr:sp macro="" textlink="">
      <xdr:nvSpPr>
        <xdr:cNvPr id="17" name="TextBox 16">
          <a:extLst>
            <a:ext uri="{FF2B5EF4-FFF2-40B4-BE49-F238E27FC236}">
              <a16:creationId xmlns="" xmlns:a16="http://schemas.microsoft.com/office/drawing/2014/main" id="{53526491-3696-4E32-A2E7-C4CEBA6BC30C}"/>
            </a:ext>
          </a:extLst>
        </xdr:cNvPr>
        <xdr:cNvSpPr txBox="1"/>
      </xdr:nvSpPr>
      <xdr:spPr>
        <a:xfrm>
          <a:off x="3479800" y="1403350"/>
          <a:ext cx="1079500" cy="254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rgbClr val="FF0000"/>
              </a:solidFill>
            </a:rPr>
            <a:t>Total Amount</a:t>
          </a:r>
        </a:p>
      </xdr:txBody>
    </xdr:sp>
    <xdr:clientData/>
  </xdr:twoCellAnchor>
  <xdr:twoCellAnchor>
    <xdr:from>
      <xdr:col>5</xdr:col>
      <xdr:colOff>292100</xdr:colOff>
      <xdr:row>9</xdr:row>
      <xdr:rowOff>0</xdr:rowOff>
    </xdr:from>
    <xdr:to>
      <xdr:col>7</xdr:col>
      <xdr:colOff>44450</xdr:colOff>
      <xdr:row>10</xdr:row>
      <xdr:rowOff>107950</xdr:rowOff>
    </xdr:to>
    <xdr:sp macro="" textlink="Sheet2!B9">
      <xdr:nvSpPr>
        <xdr:cNvPr id="18" name="TextBox 17">
          <a:extLst>
            <a:ext uri="{FF2B5EF4-FFF2-40B4-BE49-F238E27FC236}">
              <a16:creationId xmlns="" xmlns:a16="http://schemas.microsoft.com/office/drawing/2014/main" id="{3CB091D6-68CA-B8E9-4D0D-8C5B73D2BBA0}"/>
            </a:ext>
          </a:extLst>
        </xdr:cNvPr>
        <xdr:cNvSpPr txBox="1"/>
      </xdr:nvSpPr>
      <xdr:spPr>
        <a:xfrm>
          <a:off x="3340100" y="1714500"/>
          <a:ext cx="971550" cy="298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2ECEEB8F-3E42-43DA-A6CE-D45FD3E97B80}" type="TxLink">
            <a:rPr lang="en-US" sz="2400" b="1" i="0" u="none" strike="noStrike">
              <a:solidFill>
                <a:schemeClr val="bg1"/>
              </a:solidFill>
              <a:latin typeface="Calibri"/>
              <a:ea typeface="+mn-ea"/>
              <a:cs typeface="Calibri"/>
            </a:rPr>
            <a:pPr marL="0" indent="0"/>
            <a:t>1846590</a:t>
          </a:fld>
          <a:endParaRPr lang="en-IN" sz="2400" b="1" i="0" u="none" strike="noStrike">
            <a:solidFill>
              <a:schemeClr val="bg1"/>
            </a:solidFill>
            <a:latin typeface="Calibri"/>
            <a:ea typeface="+mn-ea"/>
            <a:cs typeface="Calibri"/>
          </a:endParaRPr>
        </a:p>
      </xdr:txBody>
    </xdr:sp>
    <xdr:clientData/>
  </xdr:twoCellAnchor>
  <xdr:twoCellAnchor editAs="oneCell">
    <xdr:from>
      <xdr:col>4</xdr:col>
      <xdr:colOff>342900</xdr:colOff>
      <xdr:row>8</xdr:row>
      <xdr:rowOff>25400</xdr:rowOff>
    </xdr:from>
    <xdr:to>
      <xdr:col>5</xdr:col>
      <xdr:colOff>107950</xdr:colOff>
      <xdr:row>10</xdr:row>
      <xdr:rowOff>31750</xdr:rowOff>
    </xdr:to>
    <xdr:pic>
      <xdr:nvPicPr>
        <xdr:cNvPr id="21" name="Graphic 20" descr="Rupee">
          <a:extLst>
            <a:ext uri="{FF2B5EF4-FFF2-40B4-BE49-F238E27FC236}">
              <a16:creationId xmlns="" xmlns:a16="http://schemas.microsoft.com/office/drawing/2014/main" id="{D0EBB1CA-B1DF-754A-58A5-8396F433E547}"/>
            </a:ext>
          </a:extLst>
        </xdr:cNvPr>
        <xdr:cNvPicPr>
          <a:picLocks noChangeAspect="1"/>
        </xdr:cNvPicPr>
      </xdr:nvPicPr>
      <xdr:blipFill>
        <a:blip xmlns:r="http://schemas.openxmlformats.org/officeDocument/2006/relationships" r:embed="rId3">
          <a:extLst>
            <a:ext uri="{96DAC541-7B7A-43D3-8B79-37D633B846F1}">
              <asvg:svgBlip xmlns="" xmlns:asvg="http://schemas.microsoft.com/office/drawing/2016/SVG/main" r:embed="rId4"/>
            </a:ext>
          </a:extLst>
        </a:blip>
        <a:stretch>
          <a:fillRect/>
        </a:stretch>
      </xdr:blipFill>
      <xdr:spPr>
        <a:xfrm>
          <a:off x="2781300" y="1498600"/>
          <a:ext cx="374650" cy="374650"/>
        </a:xfrm>
        <a:prstGeom prst="rect">
          <a:avLst/>
        </a:prstGeom>
      </xdr:spPr>
    </xdr:pic>
    <xdr:clientData/>
  </xdr:twoCellAnchor>
  <xdr:twoCellAnchor>
    <xdr:from>
      <xdr:col>7</xdr:col>
      <xdr:colOff>222250</xdr:colOff>
      <xdr:row>13</xdr:row>
      <xdr:rowOff>0</xdr:rowOff>
    </xdr:from>
    <xdr:to>
      <xdr:col>13</xdr:col>
      <xdr:colOff>352425</xdr:colOff>
      <xdr:row>25</xdr:row>
      <xdr:rowOff>19049</xdr:rowOff>
    </xdr:to>
    <xdr:graphicFrame macro="">
      <xdr:nvGraphicFramePr>
        <xdr:cNvPr id="22" name="Chart 21">
          <a:extLst>
            <a:ext uri="{FF2B5EF4-FFF2-40B4-BE49-F238E27FC236}">
              <a16:creationId xmlns="" xmlns:a16="http://schemas.microsoft.com/office/drawing/2014/main" id="{8B0EA8B1-2DC5-4EF0-8586-1D3A125616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104775</xdr:colOff>
      <xdr:row>13</xdr:row>
      <xdr:rowOff>19048</xdr:rowOff>
    </xdr:from>
    <xdr:to>
      <xdr:col>20</xdr:col>
      <xdr:colOff>104774</xdr:colOff>
      <xdr:row>24</xdr:row>
      <xdr:rowOff>190499</xdr:rowOff>
    </xdr:to>
    <xdr:graphicFrame macro="">
      <xdr:nvGraphicFramePr>
        <xdr:cNvPr id="20" name="Chart 1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114301</xdr:colOff>
      <xdr:row>13</xdr:row>
      <xdr:rowOff>57150</xdr:rowOff>
    </xdr:from>
    <xdr:to>
      <xdr:col>6</xdr:col>
      <xdr:colOff>285751</xdr:colOff>
      <xdr:row>24</xdr:row>
      <xdr:rowOff>171450</xdr:rowOff>
    </xdr:to>
    <xdr:graphicFrame macro="">
      <xdr:nvGraphicFramePr>
        <xdr:cNvPr id="24" name="Chart 2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oneCellAnchor>
    <xdr:from>
      <xdr:col>8</xdr:col>
      <xdr:colOff>457201</xdr:colOff>
      <xdr:row>7</xdr:row>
      <xdr:rowOff>95250</xdr:rowOff>
    </xdr:from>
    <xdr:ext cx="5553074" cy="781111"/>
    <xdr:sp macro="" textlink="">
      <xdr:nvSpPr>
        <xdr:cNvPr id="12" name="TextBox 11"/>
        <xdr:cNvSpPr txBox="1"/>
      </xdr:nvSpPr>
      <xdr:spPr>
        <a:xfrm>
          <a:off x="5334001" y="1428750"/>
          <a:ext cx="5553074" cy="7811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IN" sz="4400" b="1">
              <a:solidFill>
                <a:schemeClr val="bg1">
                  <a:lumMod val="95000"/>
                </a:schemeClr>
              </a:solidFill>
            </a:rPr>
            <a:t>Sales</a:t>
          </a:r>
          <a:r>
            <a:rPr lang="en-IN" sz="4400" b="1" baseline="0">
              <a:solidFill>
                <a:schemeClr val="bg1">
                  <a:lumMod val="95000"/>
                </a:schemeClr>
              </a:solidFill>
            </a:rPr>
            <a:t> Dashboard </a:t>
          </a:r>
          <a:endParaRPr lang="en-IN" sz="4400" b="1">
            <a:solidFill>
              <a:schemeClr val="bg1">
                <a:lumMod val="95000"/>
              </a:schemeClr>
            </a:solidFill>
          </a:endParaRP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Baudhyantram" refreshedDate="46094.471038425923" createdVersion="8" refreshedVersion="8" minRefreshableVersion="3" recordCount="300">
  <cacheSource type="worksheet">
    <worksheetSource ref="A1:H301" sheet="Sheet1"/>
  </cacheSource>
  <cacheFields count="8">
    <cacheField name="Sr.No" numFmtId="0">
      <sharedItems containsSemiMixedTypes="0" containsString="0" containsNumber="1" containsInteger="1" minValue="1" maxValue="300"/>
    </cacheField>
    <cacheField name="Date" numFmtId="14">
      <sharedItems containsSemiMixedTypes="0" containsNonDate="0" containsDate="1" containsString="0" minDate="2022-01-01T00:00:00" maxDate="2022-10-28T00:00:00" count="300">
        <d v="2022-01-01T00:00:00"/>
        <d v="2022-01-02T00:00:00"/>
        <d v="2022-01-03T00:00:00"/>
        <d v="2022-01-04T00:00:00"/>
        <d v="2022-01-05T00:00:00"/>
        <d v="2022-01-06T00:00:00"/>
        <d v="2022-01-07T00:00:00"/>
        <d v="2022-01-08T00:00:00"/>
        <d v="2022-01-09T00:00:00"/>
        <d v="2022-01-10T00:00:00"/>
        <d v="2022-01-11T00:00:00"/>
        <d v="2022-01-12T00:00:00"/>
        <d v="2022-01-13T00:00:00"/>
        <d v="2022-01-14T00:00:00"/>
        <d v="2022-01-15T00:00:00"/>
        <d v="2022-01-16T00:00:00"/>
        <d v="2022-01-17T00:00:00"/>
        <d v="2022-01-18T00:00:00"/>
        <d v="2022-01-19T00:00:00"/>
        <d v="2022-01-20T00:00:00"/>
        <d v="2022-01-21T00:00:00"/>
        <d v="2022-01-22T00:00:00"/>
        <d v="2022-01-23T00:00:00"/>
        <d v="2022-01-24T00:00:00"/>
        <d v="2022-01-25T00:00:00"/>
        <d v="2022-01-26T00:00:00"/>
        <d v="2022-01-27T00:00:00"/>
        <d v="2022-01-28T00:00:00"/>
        <d v="2022-01-29T00:00:00"/>
        <d v="2022-01-30T00:00:00"/>
        <d v="2022-01-31T00:00:00"/>
        <d v="2022-02-01T00:00:00"/>
        <d v="2022-02-02T00:00:00"/>
        <d v="2022-02-03T00:00:00"/>
        <d v="2022-02-04T00:00:00"/>
        <d v="2022-02-05T00:00:00"/>
        <d v="2022-02-06T00:00:00"/>
        <d v="2022-02-07T00:00:00"/>
        <d v="2022-02-08T00:00:00"/>
        <d v="2022-02-09T00:00:00"/>
        <d v="2022-02-10T00:00:00"/>
        <d v="2022-02-11T00:00:00"/>
        <d v="2022-02-12T00:00:00"/>
        <d v="2022-02-13T00:00:00"/>
        <d v="2022-02-14T00:00:00"/>
        <d v="2022-02-15T00:00:00"/>
        <d v="2022-02-16T00:00:00"/>
        <d v="2022-02-17T00:00:00"/>
        <d v="2022-02-18T00:00:00"/>
        <d v="2022-02-19T00:00:00"/>
        <d v="2022-02-20T00:00:00"/>
        <d v="2022-02-21T00:00:00"/>
        <d v="2022-02-22T00:00:00"/>
        <d v="2022-02-23T00:00:00"/>
        <d v="2022-02-24T00:00:00"/>
        <d v="2022-02-25T00:00:00"/>
        <d v="2022-02-26T00:00:00"/>
        <d v="2022-02-27T00:00:00"/>
        <d v="2022-02-28T00:00:00"/>
        <d v="2022-03-01T00:00:00"/>
        <d v="2022-03-02T00:00:00"/>
        <d v="2022-03-03T00:00:00"/>
        <d v="2022-03-04T00:00:00"/>
        <d v="2022-03-05T00:00:00"/>
        <d v="2022-03-06T00:00:00"/>
        <d v="2022-03-07T00:00:00"/>
        <d v="2022-03-08T00:00:00"/>
        <d v="2022-03-09T00:00:00"/>
        <d v="2022-03-10T00:00:00"/>
        <d v="2022-03-11T00:00:00"/>
        <d v="2022-03-12T00:00:00"/>
        <d v="2022-03-13T00:00:00"/>
        <d v="2022-03-14T00:00:00"/>
        <d v="2022-03-15T00:00:00"/>
        <d v="2022-03-16T00:00:00"/>
        <d v="2022-03-17T00:00:00"/>
        <d v="2022-03-18T00:00:00"/>
        <d v="2022-03-19T00:00:00"/>
        <d v="2022-03-20T00:00:00"/>
        <d v="2022-03-21T00:00:00"/>
        <d v="2022-03-22T00:00:00"/>
        <d v="2022-03-23T00:00:00"/>
        <d v="2022-03-24T00:00:00"/>
        <d v="2022-03-25T00:00:00"/>
        <d v="2022-03-26T00:00:00"/>
        <d v="2022-03-27T00:00:00"/>
        <d v="2022-03-28T00:00:00"/>
        <d v="2022-03-29T00:00:00"/>
        <d v="2022-03-30T00:00:00"/>
        <d v="2022-03-31T00:00:00"/>
        <d v="2022-04-01T00:00:00"/>
        <d v="2022-04-02T00:00:00"/>
        <d v="2022-04-03T00:00:00"/>
        <d v="2022-04-04T00:00:00"/>
        <d v="2022-04-05T00:00:00"/>
        <d v="2022-04-06T00:00:00"/>
        <d v="2022-04-07T00:00:00"/>
        <d v="2022-04-08T00:00:00"/>
        <d v="2022-04-09T00:00:00"/>
        <d v="2022-04-10T00:00:00"/>
        <d v="2022-04-11T00:00:00"/>
        <d v="2022-04-12T00:00:00"/>
        <d v="2022-04-13T00:00:00"/>
        <d v="2022-04-14T00:00:00"/>
        <d v="2022-04-15T00:00:00"/>
        <d v="2022-04-16T00:00:00"/>
        <d v="2022-04-17T00:00:00"/>
        <d v="2022-04-18T00:00:00"/>
        <d v="2022-04-19T00:00:00"/>
        <d v="2022-04-20T00:00:00"/>
        <d v="2022-04-21T00:00:00"/>
        <d v="2022-04-22T00:00:00"/>
        <d v="2022-04-23T00:00:00"/>
        <d v="2022-04-24T00:00:00"/>
        <d v="2022-04-25T00:00:00"/>
        <d v="2022-04-26T00:00:00"/>
        <d v="2022-04-27T00:00:00"/>
        <d v="2022-04-28T00:00:00"/>
        <d v="2022-04-29T00:00:00"/>
        <d v="2022-04-30T00:00:00"/>
        <d v="2022-05-01T00:00:00"/>
        <d v="2022-05-02T00:00:00"/>
        <d v="2022-05-03T00:00:00"/>
        <d v="2022-05-04T00:00:00"/>
        <d v="2022-05-05T00:00:00"/>
        <d v="2022-05-06T00:00:00"/>
        <d v="2022-05-07T00:00:00"/>
        <d v="2022-05-08T00:00:00"/>
        <d v="2022-05-09T00:00:00"/>
        <d v="2022-05-10T00:00:00"/>
        <d v="2022-05-11T00:00:00"/>
        <d v="2022-05-12T00:00:00"/>
        <d v="2022-05-13T00:00:00"/>
        <d v="2022-05-14T00:00:00"/>
        <d v="2022-05-15T00:00:00"/>
        <d v="2022-05-16T00:00:00"/>
        <d v="2022-05-17T00:00:00"/>
        <d v="2022-05-18T00:00:00"/>
        <d v="2022-05-19T00:00:00"/>
        <d v="2022-05-20T00:00:00"/>
        <d v="2022-05-21T00:00:00"/>
        <d v="2022-05-22T00:00:00"/>
        <d v="2022-05-23T00:00:00"/>
        <d v="2022-05-24T00:00:00"/>
        <d v="2022-05-25T00:00:00"/>
        <d v="2022-05-26T00:00:00"/>
        <d v="2022-05-27T00:00:00"/>
        <d v="2022-05-28T00:00:00"/>
        <d v="2022-05-29T00:00:00"/>
        <d v="2022-05-30T00:00:00"/>
        <d v="2022-05-31T00:00:00"/>
        <d v="2022-06-01T00:00:00"/>
        <d v="2022-06-02T00:00:00"/>
        <d v="2022-06-03T00:00:00"/>
        <d v="2022-06-04T00:00:00"/>
        <d v="2022-06-05T00:00:00"/>
        <d v="2022-06-06T00:00:00"/>
        <d v="2022-06-07T00:00:00"/>
        <d v="2022-06-08T00:00:00"/>
        <d v="2022-06-09T00:00:00"/>
        <d v="2022-06-10T00:00:00"/>
        <d v="2022-06-11T00:00:00"/>
        <d v="2022-06-12T00:00:00"/>
        <d v="2022-06-13T00:00:00"/>
        <d v="2022-06-14T00:00:00"/>
        <d v="2022-06-15T00:00:00"/>
        <d v="2022-06-16T00:00:00"/>
        <d v="2022-06-17T00:00:00"/>
        <d v="2022-06-18T00:00:00"/>
        <d v="2022-06-19T00:00:00"/>
        <d v="2022-06-20T00:00:00"/>
        <d v="2022-06-21T00:00:00"/>
        <d v="2022-06-22T00:00:00"/>
        <d v="2022-06-23T00:00:00"/>
        <d v="2022-06-24T00:00:00"/>
        <d v="2022-06-25T00:00:00"/>
        <d v="2022-06-26T00:00:00"/>
        <d v="2022-06-27T00:00:00"/>
        <d v="2022-06-28T00:00:00"/>
        <d v="2022-06-29T00:00:00"/>
        <d v="2022-06-30T00:00:00"/>
        <d v="2022-07-01T00:00:00"/>
        <d v="2022-07-02T00:00:00"/>
        <d v="2022-07-03T00:00:00"/>
        <d v="2022-07-04T00:00:00"/>
        <d v="2022-07-05T00:00:00"/>
        <d v="2022-07-06T00:00:00"/>
        <d v="2022-07-07T00:00:00"/>
        <d v="2022-07-08T00:00:00"/>
        <d v="2022-07-09T00:00:00"/>
        <d v="2022-07-10T00:00:00"/>
        <d v="2022-07-11T00:00:00"/>
        <d v="2022-07-12T00:00:00"/>
        <d v="2022-07-13T00:00:00"/>
        <d v="2022-07-14T00:00:00"/>
        <d v="2022-07-15T00:00:00"/>
        <d v="2022-07-16T00:00:00"/>
        <d v="2022-07-17T00:00:00"/>
        <d v="2022-07-18T00:00:00"/>
        <d v="2022-07-19T00:00:00"/>
        <d v="2022-07-20T00:00:00"/>
        <d v="2022-07-21T00:00:00"/>
        <d v="2022-07-22T00:00:00"/>
        <d v="2022-07-23T00:00:00"/>
        <d v="2022-07-24T00:00:00"/>
        <d v="2022-07-25T00:00:00"/>
        <d v="2022-07-26T00:00:00"/>
        <d v="2022-07-27T00:00:00"/>
        <d v="2022-07-28T00:00:00"/>
        <d v="2022-07-29T00:00:00"/>
        <d v="2022-07-30T00:00:00"/>
        <d v="2022-07-31T00:00:00"/>
        <d v="2022-08-01T00:00:00"/>
        <d v="2022-08-02T00:00:00"/>
        <d v="2022-08-03T00:00:00"/>
        <d v="2022-08-04T00:00:00"/>
        <d v="2022-08-05T00:00:00"/>
        <d v="2022-08-06T00:00:00"/>
        <d v="2022-08-07T00:00:00"/>
        <d v="2022-08-08T00:00:00"/>
        <d v="2022-08-09T00:00:00"/>
        <d v="2022-08-10T00:00:00"/>
        <d v="2022-08-11T00:00:00"/>
        <d v="2022-08-12T00:00:00"/>
        <d v="2022-08-13T00:00:00"/>
        <d v="2022-08-14T00:00:00"/>
        <d v="2022-08-15T00:00:00"/>
        <d v="2022-08-16T00:00:00"/>
        <d v="2022-08-17T00:00:00"/>
        <d v="2022-08-18T00:00:00"/>
        <d v="2022-08-19T00:00:00"/>
        <d v="2022-08-20T00:00:00"/>
        <d v="2022-08-21T00:00:00"/>
        <d v="2022-08-22T00:00:00"/>
        <d v="2022-08-23T00:00:00"/>
        <d v="2022-08-24T00:00:00"/>
        <d v="2022-08-25T00:00:00"/>
        <d v="2022-08-26T00:00:00"/>
        <d v="2022-08-27T00:00:00"/>
        <d v="2022-08-28T00:00:00"/>
        <d v="2022-08-29T00:00:00"/>
        <d v="2022-08-30T00:00:00"/>
        <d v="2022-08-31T00:00:00"/>
        <d v="2022-09-01T00:00:00"/>
        <d v="2022-09-02T00:00:00"/>
        <d v="2022-09-03T00:00:00"/>
        <d v="2022-09-04T00:00:00"/>
        <d v="2022-09-05T00:00:00"/>
        <d v="2022-09-06T00:00:00"/>
        <d v="2022-09-07T00:00:00"/>
        <d v="2022-09-08T00:00:00"/>
        <d v="2022-09-09T00:00:00"/>
        <d v="2022-09-10T00:00:00"/>
        <d v="2022-09-11T00:00:00"/>
        <d v="2022-09-12T00:00:00"/>
        <d v="2022-09-13T00:00:00"/>
        <d v="2022-09-14T00:00:00"/>
        <d v="2022-09-15T00:00:00"/>
        <d v="2022-09-16T00:00:00"/>
        <d v="2022-09-17T00:00:00"/>
        <d v="2022-09-18T00:00:00"/>
        <d v="2022-09-19T00:00:00"/>
        <d v="2022-09-20T00:00:00"/>
        <d v="2022-09-21T00:00:00"/>
        <d v="2022-09-22T00:00:00"/>
        <d v="2022-09-23T00:00:00"/>
        <d v="2022-09-24T00:00:00"/>
        <d v="2022-09-25T00:00:00"/>
        <d v="2022-09-26T00:00:00"/>
        <d v="2022-09-27T00:00:00"/>
        <d v="2022-09-28T00:00:00"/>
        <d v="2022-09-29T00:00:00"/>
        <d v="2022-09-30T00:00:00"/>
        <d v="2022-10-01T00:00:00"/>
        <d v="2022-10-02T00:00:00"/>
        <d v="2022-10-03T00:00:00"/>
        <d v="2022-10-04T00:00:00"/>
        <d v="2022-10-05T00:00:00"/>
        <d v="2022-10-06T00:00:00"/>
        <d v="2022-10-07T00:00:00"/>
        <d v="2022-10-08T00:00:00"/>
        <d v="2022-10-09T00:00:00"/>
        <d v="2022-10-10T00:00:00"/>
        <d v="2022-10-11T00:00:00"/>
        <d v="2022-10-12T00:00:00"/>
        <d v="2022-10-13T00:00:00"/>
        <d v="2022-10-14T00:00:00"/>
        <d v="2022-10-15T00:00:00"/>
        <d v="2022-10-16T00:00:00"/>
        <d v="2022-10-17T00:00:00"/>
        <d v="2022-10-18T00:00:00"/>
        <d v="2022-10-19T00:00:00"/>
        <d v="2022-10-20T00:00:00"/>
        <d v="2022-10-21T00:00:00"/>
        <d v="2022-10-22T00:00:00"/>
        <d v="2022-10-23T00:00:00"/>
        <d v="2022-10-24T00:00:00"/>
        <d v="2022-10-25T00:00:00"/>
        <d v="2022-10-26T00:00:00"/>
        <d v="2022-10-27T00:00:00"/>
      </sharedItems>
    </cacheField>
    <cacheField name="Salesman" numFmtId="0">
      <sharedItems count="6">
        <s v="Vijay"/>
        <s v="Aman"/>
        <s v="Rohit"/>
        <s v="Ankit"/>
        <s v="Mohit"/>
        <s v="Ajit "/>
      </sharedItems>
    </cacheField>
    <cacheField name="Region" numFmtId="0">
      <sharedItems count="2">
        <s v="East"/>
        <s v="West"/>
      </sharedItems>
    </cacheField>
    <cacheField name="Item" numFmtId="0">
      <sharedItems count="6">
        <s v="Mouse"/>
        <s v="Printer"/>
        <s v="Moniter"/>
        <s v="Scanner"/>
        <s v="Speaker"/>
        <s v="Keyboard"/>
      </sharedItems>
    </cacheField>
    <cacheField name="Qty" numFmtId="0">
      <sharedItems containsSemiMixedTypes="0" containsString="0" containsNumber="1" containsInteger="1" minValue="3" maxValue="9"/>
    </cacheField>
    <cacheField name="Price" numFmtId="0">
      <sharedItems containsSemiMixedTypes="0" containsString="0" containsNumber="1" containsInteger="1" minValue="210" maxValue="2500"/>
    </cacheField>
    <cacheField name="Amount" numFmtId="0">
      <sharedItems containsSemiMixedTypes="0" containsString="0" containsNumber="1" containsInteger="1" minValue="630" maxValue="22500"/>
    </cacheField>
  </cacheFields>
  <extLst>
    <ext xmlns:x14="http://schemas.microsoft.com/office/spreadsheetml/2009/9/main" uri="{725AE2AE-9491-48be-B2B4-4EB974FC3084}">
      <x14:pivotCacheDefinition pivotCacheId="787992250"/>
    </ext>
  </extLst>
</pivotCacheDefinition>
</file>

<file path=xl/pivotCache/pivotCacheRecords1.xml><?xml version="1.0" encoding="utf-8"?>
<pivotCacheRecords xmlns="http://schemas.openxmlformats.org/spreadsheetml/2006/main" xmlns:r="http://schemas.openxmlformats.org/officeDocument/2006/relationships" count="300">
  <r>
    <n v="1"/>
    <x v="0"/>
    <x v="0"/>
    <x v="0"/>
    <x v="0"/>
    <n v="7"/>
    <n v="210"/>
    <n v="1470"/>
  </r>
  <r>
    <n v="2"/>
    <x v="1"/>
    <x v="1"/>
    <x v="1"/>
    <x v="1"/>
    <n v="4"/>
    <n v="2000"/>
    <n v="8000"/>
  </r>
  <r>
    <n v="3"/>
    <x v="2"/>
    <x v="2"/>
    <x v="0"/>
    <x v="2"/>
    <n v="6"/>
    <n v="2500"/>
    <n v="15000"/>
  </r>
  <r>
    <n v="4"/>
    <x v="3"/>
    <x v="3"/>
    <x v="1"/>
    <x v="3"/>
    <n v="6"/>
    <n v="1000"/>
    <n v="6000"/>
  </r>
  <r>
    <n v="5"/>
    <x v="4"/>
    <x v="4"/>
    <x v="0"/>
    <x v="4"/>
    <n v="4"/>
    <n v="250"/>
    <n v="1000"/>
  </r>
  <r>
    <n v="6"/>
    <x v="5"/>
    <x v="5"/>
    <x v="0"/>
    <x v="5"/>
    <n v="3"/>
    <n v="300"/>
    <n v="900"/>
  </r>
  <r>
    <n v="7"/>
    <x v="6"/>
    <x v="0"/>
    <x v="0"/>
    <x v="0"/>
    <n v="9"/>
    <n v="210"/>
    <n v="1890"/>
  </r>
  <r>
    <n v="8"/>
    <x v="7"/>
    <x v="1"/>
    <x v="1"/>
    <x v="1"/>
    <n v="6"/>
    <n v="2000"/>
    <n v="12000"/>
  </r>
  <r>
    <n v="9"/>
    <x v="8"/>
    <x v="2"/>
    <x v="0"/>
    <x v="2"/>
    <n v="4"/>
    <n v="2500"/>
    <n v="10000"/>
  </r>
  <r>
    <n v="10"/>
    <x v="9"/>
    <x v="3"/>
    <x v="1"/>
    <x v="3"/>
    <n v="4"/>
    <n v="1000"/>
    <n v="4000"/>
  </r>
  <r>
    <n v="11"/>
    <x v="10"/>
    <x v="4"/>
    <x v="0"/>
    <x v="4"/>
    <n v="3"/>
    <n v="250"/>
    <n v="750"/>
  </r>
  <r>
    <n v="12"/>
    <x v="11"/>
    <x v="5"/>
    <x v="0"/>
    <x v="5"/>
    <n v="7"/>
    <n v="300"/>
    <n v="2100"/>
  </r>
  <r>
    <n v="13"/>
    <x v="12"/>
    <x v="0"/>
    <x v="0"/>
    <x v="0"/>
    <n v="4"/>
    <n v="210"/>
    <n v="840"/>
  </r>
  <r>
    <n v="14"/>
    <x v="13"/>
    <x v="1"/>
    <x v="1"/>
    <x v="1"/>
    <n v="5"/>
    <n v="2000"/>
    <n v="10000"/>
  </r>
  <r>
    <n v="15"/>
    <x v="14"/>
    <x v="2"/>
    <x v="0"/>
    <x v="2"/>
    <n v="3"/>
    <n v="2500"/>
    <n v="7500"/>
  </r>
  <r>
    <n v="16"/>
    <x v="15"/>
    <x v="3"/>
    <x v="1"/>
    <x v="3"/>
    <n v="3"/>
    <n v="1000"/>
    <n v="3000"/>
  </r>
  <r>
    <n v="17"/>
    <x v="16"/>
    <x v="4"/>
    <x v="0"/>
    <x v="4"/>
    <n v="3"/>
    <n v="250"/>
    <n v="750"/>
  </r>
  <r>
    <n v="18"/>
    <x v="17"/>
    <x v="5"/>
    <x v="0"/>
    <x v="5"/>
    <n v="4"/>
    <n v="300"/>
    <n v="1200"/>
  </r>
  <r>
    <n v="19"/>
    <x v="18"/>
    <x v="0"/>
    <x v="0"/>
    <x v="0"/>
    <n v="6"/>
    <n v="210"/>
    <n v="1260"/>
  </r>
  <r>
    <n v="20"/>
    <x v="19"/>
    <x v="1"/>
    <x v="1"/>
    <x v="1"/>
    <n v="7"/>
    <n v="2000"/>
    <n v="14000"/>
  </r>
  <r>
    <n v="21"/>
    <x v="20"/>
    <x v="2"/>
    <x v="0"/>
    <x v="2"/>
    <n v="4"/>
    <n v="2500"/>
    <n v="10000"/>
  </r>
  <r>
    <n v="22"/>
    <x v="21"/>
    <x v="3"/>
    <x v="1"/>
    <x v="3"/>
    <n v="3"/>
    <n v="1000"/>
    <n v="3000"/>
  </r>
  <r>
    <n v="23"/>
    <x v="22"/>
    <x v="4"/>
    <x v="0"/>
    <x v="4"/>
    <n v="3"/>
    <n v="250"/>
    <n v="750"/>
  </r>
  <r>
    <n v="24"/>
    <x v="23"/>
    <x v="5"/>
    <x v="0"/>
    <x v="5"/>
    <n v="7"/>
    <n v="300"/>
    <n v="2100"/>
  </r>
  <r>
    <n v="25"/>
    <x v="24"/>
    <x v="0"/>
    <x v="0"/>
    <x v="0"/>
    <n v="7"/>
    <n v="210"/>
    <n v="1470"/>
  </r>
  <r>
    <n v="26"/>
    <x v="25"/>
    <x v="1"/>
    <x v="1"/>
    <x v="1"/>
    <n v="6"/>
    <n v="2000"/>
    <n v="12000"/>
  </r>
  <r>
    <n v="27"/>
    <x v="26"/>
    <x v="2"/>
    <x v="0"/>
    <x v="2"/>
    <n v="7"/>
    <n v="2500"/>
    <n v="17500"/>
  </r>
  <r>
    <n v="28"/>
    <x v="27"/>
    <x v="3"/>
    <x v="1"/>
    <x v="3"/>
    <n v="7"/>
    <n v="1000"/>
    <n v="7000"/>
  </r>
  <r>
    <n v="29"/>
    <x v="28"/>
    <x v="4"/>
    <x v="0"/>
    <x v="4"/>
    <n v="5"/>
    <n v="250"/>
    <n v="1250"/>
  </r>
  <r>
    <n v="30"/>
    <x v="29"/>
    <x v="5"/>
    <x v="0"/>
    <x v="5"/>
    <n v="5"/>
    <n v="300"/>
    <n v="1500"/>
  </r>
  <r>
    <n v="31"/>
    <x v="30"/>
    <x v="0"/>
    <x v="0"/>
    <x v="0"/>
    <n v="5"/>
    <n v="210"/>
    <n v="1050"/>
  </r>
  <r>
    <n v="32"/>
    <x v="31"/>
    <x v="1"/>
    <x v="1"/>
    <x v="1"/>
    <n v="7"/>
    <n v="2000"/>
    <n v="14000"/>
  </r>
  <r>
    <n v="33"/>
    <x v="32"/>
    <x v="2"/>
    <x v="0"/>
    <x v="2"/>
    <n v="3"/>
    <n v="2500"/>
    <n v="7500"/>
  </r>
  <r>
    <n v="34"/>
    <x v="33"/>
    <x v="3"/>
    <x v="1"/>
    <x v="3"/>
    <n v="6"/>
    <n v="1000"/>
    <n v="6000"/>
  </r>
  <r>
    <n v="35"/>
    <x v="34"/>
    <x v="4"/>
    <x v="0"/>
    <x v="4"/>
    <n v="8"/>
    <n v="250"/>
    <n v="2000"/>
  </r>
  <r>
    <n v="36"/>
    <x v="35"/>
    <x v="5"/>
    <x v="0"/>
    <x v="5"/>
    <n v="4"/>
    <n v="300"/>
    <n v="1200"/>
  </r>
  <r>
    <n v="37"/>
    <x v="36"/>
    <x v="0"/>
    <x v="0"/>
    <x v="0"/>
    <n v="7"/>
    <n v="210"/>
    <n v="1470"/>
  </r>
  <r>
    <n v="38"/>
    <x v="37"/>
    <x v="1"/>
    <x v="1"/>
    <x v="1"/>
    <n v="3"/>
    <n v="2000"/>
    <n v="6000"/>
  </r>
  <r>
    <n v="39"/>
    <x v="38"/>
    <x v="2"/>
    <x v="0"/>
    <x v="2"/>
    <n v="4"/>
    <n v="2500"/>
    <n v="10000"/>
  </r>
  <r>
    <n v="40"/>
    <x v="39"/>
    <x v="3"/>
    <x v="1"/>
    <x v="3"/>
    <n v="9"/>
    <n v="1000"/>
    <n v="9000"/>
  </r>
  <r>
    <n v="41"/>
    <x v="40"/>
    <x v="4"/>
    <x v="0"/>
    <x v="4"/>
    <n v="9"/>
    <n v="250"/>
    <n v="2250"/>
  </r>
  <r>
    <n v="42"/>
    <x v="41"/>
    <x v="5"/>
    <x v="0"/>
    <x v="5"/>
    <n v="6"/>
    <n v="300"/>
    <n v="1800"/>
  </r>
  <r>
    <n v="43"/>
    <x v="42"/>
    <x v="0"/>
    <x v="0"/>
    <x v="0"/>
    <n v="9"/>
    <n v="210"/>
    <n v="1890"/>
  </r>
  <r>
    <n v="44"/>
    <x v="43"/>
    <x v="1"/>
    <x v="1"/>
    <x v="1"/>
    <n v="3"/>
    <n v="2000"/>
    <n v="6000"/>
  </r>
  <r>
    <n v="45"/>
    <x v="44"/>
    <x v="2"/>
    <x v="0"/>
    <x v="2"/>
    <n v="8"/>
    <n v="2500"/>
    <n v="20000"/>
  </r>
  <r>
    <n v="46"/>
    <x v="45"/>
    <x v="3"/>
    <x v="1"/>
    <x v="3"/>
    <n v="6"/>
    <n v="1000"/>
    <n v="6000"/>
  </r>
  <r>
    <n v="47"/>
    <x v="46"/>
    <x v="4"/>
    <x v="0"/>
    <x v="4"/>
    <n v="9"/>
    <n v="250"/>
    <n v="2250"/>
  </r>
  <r>
    <n v="48"/>
    <x v="47"/>
    <x v="5"/>
    <x v="0"/>
    <x v="5"/>
    <n v="9"/>
    <n v="300"/>
    <n v="2700"/>
  </r>
  <r>
    <n v="49"/>
    <x v="48"/>
    <x v="0"/>
    <x v="0"/>
    <x v="0"/>
    <n v="7"/>
    <n v="210"/>
    <n v="1470"/>
  </r>
  <r>
    <n v="50"/>
    <x v="49"/>
    <x v="1"/>
    <x v="1"/>
    <x v="1"/>
    <n v="3"/>
    <n v="2000"/>
    <n v="6000"/>
  </r>
  <r>
    <n v="51"/>
    <x v="50"/>
    <x v="2"/>
    <x v="0"/>
    <x v="2"/>
    <n v="8"/>
    <n v="2500"/>
    <n v="20000"/>
  </r>
  <r>
    <n v="52"/>
    <x v="51"/>
    <x v="3"/>
    <x v="1"/>
    <x v="3"/>
    <n v="8"/>
    <n v="1000"/>
    <n v="8000"/>
  </r>
  <r>
    <n v="53"/>
    <x v="52"/>
    <x v="4"/>
    <x v="0"/>
    <x v="4"/>
    <n v="3"/>
    <n v="250"/>
    <n v="750"/>
  </r>
  <r>
    <n v="54"/>
    <x v="53"/>
    <x v="5"/>
    <x v="0"/>
    <x v="5"/>
    <n v="9"/>
    <n v="300"/>
    <n v="2700"/>
  </r>
  <r>
    <n v="55"/>
    <x v="54"/>
    <x v="0"/>
    <x v="0"/>
    <x v="0"/>
    <n v="7"/>
    <n v="210"/>
    <n v="1470"/>
  </r>
  <r>
    <n v="56"/>
    <x v="55"/>
    <x v="1"/>
    <x v="1"/>
    <x v="1"/>
    <n v="6"/>
    <n v="2000"/>
    <n v="12000"/>
  </r>
  <r>
    <n v="57"/>
    <x v="56"/>
    <x v="2"/>
    <x v="0"/>
    <x v="2"/>
    <n v="4"/>
    <n v="2500"/>
    <n v="10000"/>
  </r>
  <r>
    <n v="58"/>
    <x v="57"/>
    <x v="3"/>
    <x v="1"/>
    <x v="3"/>
    <n v="9"/>
    <n v="1000"/>
    <n v="9000"/>
  </r>
  <r>
    <n v="59"/>
    <x v="58"/>
    <x v="4"/>
    <x v="0"/>
    <x v="4"/>
    <n v="8"/>
    <n v="250"/>
    <n v="2000"/>
  </r>
  <r>
    <n v="60"/>
    <x v="59"/>
    <x v="5"/>
    <x v="0"/>
    <x v="5"/>
    <n v="7"/>
    <n v="300"/>
    <n v="2100"/>
  </r>
  <r>
    <n v="61"/>
    <x v="60"/>
    <x v="0"/>
    <x v="0"/>
    <x v="0"/>
    <n v="9"/>
    <n v="210"/>
    <n v="1890"/>
  </r>
  <r>
    <n v="62"/>
    <x v="61"/>
    <x v="1"/>
    <x v="1"/>
    <x v="1"/>
    <n v="4"/>
    <n v="2000"/>
    <n v="8000"/>
  </r>
  <r>
    <n v="63"/>
    <x v="62"/>
    <x v="2"/>
    <x v="0"/>
    <x v="2"/>
    <n v="6"/>
    <n v="2500"/>
    <n v="15000"/>
  </r>
  <r>
    <n v="64"/>
    <x v="63"/>
    <x v="3"/>
    <x v="1"/>
    <x v="3"/>
    <n v="7"/>
    <n v="1000"/>
    <n v="7000"/>
  </r>
  <r>
    <n v="65"/>
    <x v="64"/>
    <x v="4"/>
    <x v="0"/>
    <x v="4"/>
    <n v="4"/>
    <n v="250"/>
    <n v="1000"/>
  </r>
  <r>
    <n v="66"/>
    <x v="65"/>
    <x v="5"/>
    <x v="0"/>
    <x v="5"/>
    <n v="7"/>
    <n v="300"/>
    <n v="2100"/>
  </r>
  <r>
    <n v="67"/>
    <x v="66"/>
    <x v="0"/>
    <x v="0"/>
    <x v="0"/>
    <n v="4"/>
    <n v="210"/>
    <n v="840"/>
  </r>
  <r>
    <n v="68"/>
    <x v="67"/>
    <x v="1"/>
    <x v="1"/>
    <x v="1"/>
    <n v="4"/>
    <n v="2000"/>
    <n v="8000"/>
  </r>
  <r>
    <n v="69"/>
    <x v="68"/>
    <x v="2"/>
    <x v="0"/>
    <x v="2"/>
    <n v="9"/>
    <n v="2500"/>
    <n v="22500"/>
  </r>
  <r>
    <n v="70"/>
    <x v="69"/>
    <x v="3"/>
    <x v="1"/>
    <x v="3"/>
    <n v="3"/>
    <n v="1000"/>
    <n v="3000"/>
  </r>
  <r>
    <n v="71"/>
    <x v="70"/>
    <x v="4"/>
    <x v="0"/>
    <x v="4"/>
    <n v="8"/>
    <n v="250"/>
    <n v="2000"/>
  </r>
  <r>
    <n v="72"/>
    <x v="71"/>
    <x v="5"/>
    <x v="0"/>
    <x v="5"/>
    <n v="7"/>
    <n v="300"/>
    <n v="2100"/>
  </r>
  <r>
    <n v="73"/>
    <x v="72"/>
    <x v="0"/>
    <x v="0"/>
    <x v="0"/>
    <n v="9"/>
    <n v="210"/>
    <n v="1890"/>
  </r>
  <r>
    <n v="74"/>
    <x v="73"/>
    <x v="1"/>
    <x v="1"/>
    <x v="1"/>
    <n v="5"/>
    <n v="2000"/>
    <n v="10000"/>
  </r>
  <r>
    <n v="75"/>
    <x v="74"/>
    <x v="2"/>
    <x v="0"/>
    <x v="2"/>
    <n v="3"/>
    <n v="2500"/>
    <n v="7500"/>
  </r>
  <r>
    <n v="76"/>
    <x v="75"/>
    <x v="3"/>
    <x v="1"/>
    <x v="3"/>
    <n v="4"/>
    <n v="1000"/>
    <n v="4000"/>
  </r>
  <r>
    <n v="77"/>
    <x v="76"/>
    <x v="4"/>
    <x v="0"/>
    <x v="4"/>
    <n v="9"/>
    <n v="250"/>
    <n v="2250"/>
  </r>
  <r>
    <n v="78"/>
    <x v="77"/>
    <x v="5"/>
    <x v="0"/>
    <x v="5"/>
    <n v="8"/>
    <n v="300"/>
    <n v="2400"/>
  </r>
  <r>
    <n v="79"/>
    <x v="78"/>
    <x v="0"/>
    <x v="0"/>
    <x v="0"/>
    <n v="4"/>
    <n v="210"/>
    <n v="840"/>
  </r>
  <r>
    <n v="80"/>
    <x v="79"/>
    <x v="1"/>
    <x v="1"/>
    <x v="1"/>
    <n v="3"/>
    <n v="2000"/>
    <n v="6000"/>
  </r>
  <r>
    <n v="81"/>
    <x v="80"/>
    <x v="2"/>
    <x v="0"/>
    <x v="2"/>
    <n v="7"/>
    <n v="2500"/>
    <n v="17500"/>
  </r>
  <r>
    <n v="82"/>
    <x v="81"/>
    <x v="3"/>
    <x v="1"/>
    <x v="3"/>
    <n v="7"/>
    <n v="1000"/>
    <n v="7000"/>
  </r>
  <r>
    <n v="83"/>
    <x v="82"/>
    <x v="4"/>
    <x v="0"/>
    <x v="4"/>
    <n v="9"/>
    <n v="250"/>
    <n v="2250"/>
  </r>
  <r>
    <n v="84"/>
    <x v="83"/>
    <x v="5"/>
    <x v="0"/>
    <x v="5"/>
    <n v="4"/>
    <n v="300"/>
    <n v="1200"/>
  </r>
  <r>
    <n v="85"/>
    <x v="84"/>
    <x v="0"/>
    <x v="0"/>
    <x v="0"/>
    <n v="5"/>
    <n v="210"/>
    <n v="1050"/>
  </r>
  <r>
    <n v="86"/>
    <x v="85"/>
    <x v="1"/>
    <x v="1"/>
    <x v="1"/>
    <n v="5"/>
    <n v="2000"/>
    <n v="10000"/>
  </r>
  <r>
    <n v="87"/>
    <x v="86"/>
    <x v="2"/>
    <x v="0"/>
    <x v="2"/>
    <n v="7"/>
    <n v="2500"/>
    <n v="17500"/>
  </r>
  <r>
    <n v="88"/>
    <x v="87"/>
    <x v="3"/>
    <x v="1"/>
    <x v="3"/>
    <n v="8"/>
    <n v="1000"/>
    <n v="8000"/>
  </r>
  <r>
    <n v="89"/>
    <x v="88"/>
    <x v="4"/>
    <x v="0"/>
    <x v="4"/>
    <n v="8"/>
    <n v="250"/>
    <n v="2000"/>
  </r>
  <r>
    <n v="90"/>
    <x v="89"/>
    <x v="5"/>
    <x v="0"/>
    <x v="5"/>
    <n v="7"/>
    <n v="300"/>
    <n v="2100"/>
  </r>
  <r>
    <n v="91"/>
    <x v="90"/>
    <x v="0"/>
    <x v="0"/>
    <x v="0"/>
    <n v="7"/>
    <n v="210"/>
    <n v="1470"/>
  </r>
  <r>
    <n v="92"/>
    <x v="91"/>
    <x v="1"/>
    <x v="1"/>
    <x v="1"/>
    <n v="5"/>
    <n v="2000"/>
    <n v="10000"/>
  </r>
  <r>
    <n v="93"/>
    <x v="92"/>
    <x v="2"/>
    <x v="0"/>
    <x v="2"/>
    <n v="7"/>
    <n v="2500"/>
    <n v="17500"/>
  </r>
  <r>
    <n v="94"/>
    <x v="93"/>
    <x v="3"/>
    <x v="1"/>
    <x v="3"/>
    <n v="4"/>
    <n v="1000"/>
    <n v="4000"/>
  </r>
  <r>
    <n v="95"/>
    <x v="94"/>
    <x v="4"/>
    <x v="0"/>
    <x v="4"/>
    <n v="3"/>
    <n v="250"/>
    <n v="750"/>
  </r>
  <r>
    <n v="96"/>
    <x v="95"/>
    <x v="5"/>
    <x v="0"/>
    <x v="5"/>
    <n v="7"/>
    <n v="300"/>
    <n v="2100"/>
  </r>
  <r>
    <n v="97"/>
    <x v="96"/>
    <x v="0"/>
    <x v="0"/>
    <x v="0"/>
    <n v="5"/>
    <n v="210"/>
    <n v="1050"/>
  </r>
  <r>
    <n v="98"/>
    <x v="97"/>
    <x v="1"/>
    <x v="1"/>
    <x v="1"/>
    <n v="9"/>
    <n v="2000"/>
    <n v="18000"/>
  </r>
  <r>
    <n v="99"/>
    <x v="98"/>
    <x v="2"/>
    <x v="0"/>
    <x v="2"/>
    <n v="8"/>
    <n v="2500"/>
    <n v="20000"/>
  </r>
  <r>
    <n v="100"/>
    <x v="99"/>
    <x v="3"/>
    <x v="1"/>
    <x v="3"/>
    <n v="5"/>
    <n v="1000"/>
    <n v="5000"/>
  </r>
  <r>
    <n v="101"/>
    <x v="100"/>
    <x v="4"/>
    <x v="0"/>
    <x v="4"/>
    <n v="3"/>
    <n v="250"/>
    <n v="750"/>
  </r>
  <r>
    <n v="102"/>
    <x v="101"/>
    <x v="5"/>
    <x v="0"/>
    <x v="5"/>
    <n v="8"/>
    <n v="300"/>
    <n v="2400"/>
  </r>
  <r>
    <n v="103"/>
    <x v="102"/>
    <x v="0"/>
    <x v="0"/>
    <x v="0"/>
    <n v="3"/>
    <n v="210"/>
    <n v="630"/>
  </r>
  <r>
    <n v="104"/>
    <x v="103"/>
    <x v="1"/>
    <x v="1"/>
    <x v="1"/>
    <n v="8"/>
    <n v="2000"/>
    <n v="16000"/>
  </r>
  <r>
    <n v="105"/>
    <x v="104"/>
    <x v="2"/>
    <x v="0"/>
    <x v="2"/>
    <n v="7"/>
    <n v="2500"/>
    <n v="17500"/>
  </r>
  <r>
    <n v="106"/>
    <x v="105"/>
    <x v="3"/>
    <x v="1"/>
    <x v="3"/>
    <n v="3"/>
    <n v="1000"/>
    <n v="3000"/>
  </r>
  <r>
    <n v="107"/>
    <x v="106"/>
    <x v="4"/>
    <x v="0"/>
    <x v="4"/>
    <n v="3"/>
    <n v="250"/>
    <n v="750"/>
  </r>
  <r>
    <n v="108"/>
    <x v="107"/>
    <x v="5"/>
    <x v="0"/>
    <x v="5"/>
    <n v="7"/>
    <n v="300"/>
    <n v="2100"/>
  </r>
  <r>
    <n v="109"/>
    <x v="108"/>
    <x v="0"/>
    <x v="0"/>
    <x v="0"/>
    <n v="4"/>
    <n v="210"/>
    <n v="840"/>
  </r>
  <r>
    <n v="110"/>
    <x v="109"/>
    <x v="1"/>
    <x v="1"/>
    <x v="1"/>
    <n v="4"/>
    <n v="2000"/>
    <n v="8000"/>
  </r>
  <r>
    <n v="111"/>
    <x v="110"/>
    <x v="2"/>
    <x v="0"/>
    <x v="2"/>
    <n v="8"/>
    <n v="2500"/>
    <n v="20000"/>
  </r>
  <r>
    <n v="112"/>
    <x v="111"/>
    <x v="3"/>
    <x v="1"/>
    <x v="3"/>
    <n v="5"/>
    <n v="1000"/>
    <n v="5000"/>
  </r>
  <r>
    <n v="113"/>
    <x v="112"/>
    <x v="4"/>
    <x v="0"/>
    <x v="4"/>
    <n v="9"/>
    <n v="250"/>
    <n v="2250"/>
  </r>
  <r>
    <n v="114"/>
    <x v="113"/>
    <x v="5"/>
    <x v="0"/>
    <x v="5"/>
    <n v="6"/>
    <n v="300"/>
    <n v="1800"/>
  </r>
  <r>
    <n v="115"/>
    <x v="114"/>
    <x v="0"/>
    <x v="0"/>
    <x v="0"/>
    <n v="3"/>
    <n v="210"/>
    <n v="630"/>
  </r>
  <r>
    <n v="116"/>
    <x v="115"/>
    <x v="1"/>
    <x v="1"/>
    <x v="1"/>
    <n v="3"/>
    <n v="2000"/>
    <n v="6000"/>
  </r>
  <r>
    <n v="117"/>
    <x v="116"/>
    <x v="2"/>
    <x v="0"/>
    <x v="2"/>
    <n v="5"/>
    <n v="2500"/>
    <n v="12500"/>
  </r>
  <r>
    <n v="118"/>
    <x v="117"/>
    <x v="3"/>
    <x v="1"/>
    <x v="3"/>
    <n v="6"/>
    <n v="1000"/>
    <n v="6000"/>
  </r>
  <r>
    <n v="119"/>
    <x v="118"/>
    <x v="4"/>
    <x v="0"/>
    <x v="4"/>
    <n v="4"/>
    <n v="250"/>
    <n v="1000"/>
  </r>
  <r>
    <n v="120"/>
    <x v="119"/>
    <x v="5"/>
    <x v="0"/>
    <x v="5"/>
    <n v="3"/>
    <n v="300"/>
    <n v="900"/>
  </r>
  <r>
    <n v="121"/>
    <x v="120"/>
    <x v="0"/>
    <x v="0"/>
    <x v="0"/>
    <n v="3"/>
    <n v="210"/>
    <n v="630"/>
  </r>
  <r>
    <n v="122"/>
    <x v="121"/>
    <x v="1"/>
    <x v="1"/>
    <x v="1"/>
    <n v="8"/>
    <n v="2000"/>
    <n v="16000"/>
  </r>
  <r>
    <n v="123"/>
    <x v="122"/>
    <x v="2"/>
    <x v="0"/>
    <x v="2"/>
    <n v="8"/>
    <n v="2500"/>
    <n v="20000"/>
  </r>
  <r>
    <n v="124"/>
    <x v="123"/>
    <x v="3"/>
    <x v="1"/>
    <x v="3"/>
    <n v="9"/>
    <n v="1000"/>
    <n v="9000"/>
  </r>
  <r>
    <n v="125"/>
    <x v="124"/>
    <x v="4"/>
    <x v="0"/>
    <x v="4"/>
    <n v="5"/>
    <n v="250"/>
    <n v="1250"/>
  </r>
  <r>
    <n v="126"/>
    <x v="125"/>
    <x v="5"/>
    <x v="0"/>
    <x v="5"/>
    <n v="5"/>
    <n v="300"/>
    <n v="1500"/>
  </r>
  <r>
    <n v="127"/>
    <x v="126"/>
    <x v="0"/>
    <x v="0"/>
    <x v="0"/>
    <n v="5"/>
    <n v="210"/>
    <n v="1050"/>
  </r>
  <r>
    <n v="128"/>
    <x v="127"/>
    <x v="1"/>
    <x v="1"/>
    <x v="1"/>
    <n v="3"/>
    <n v="2000"/>
    <n v="6000"/>
  </r>
  <r>
    <n v="129"/>
    <x v="128"/>
    <x v="2"/>
    <x v="0"/>
    <x v="2"/>
    <n v="7"/>
    <n v="2500"/>
    <n v="17500"/>
  </r>
  <r>
    <n v="130"/>
    <x v="129"/>
    <x v="3"/>
    <x v="1"/>
    <x v="3"/>
    <n v="4"/>
    <n v="1000"/>
    <n v="4000"/>
  </r>
  <r>
    <n v="131"/>
    <x v="130"/>
    <x v="4"/>
    <x v="0"/>
    <x v="4"/>
    <n v="4"/>
    <n v="250"/>
    <n v="1000"/>
  </r>
  <r>
    <n v="132"/>
    <x v="131"/>
    <x v="5"/>
    <x v="0"/>
    <x v="5"/>
    <n v="8"/>
    <n v="300"/>
    <n v="2400"/>
  </r>
  <r>
    <n v="133"/>
    <x v="132"/>
    <x v="0"/>
    <x v="0"/>
    <x v="0"/>
    <n v="4"/>
    <n v="210"/>
    <n v="840"/>
  </r>
  <r>
    <n v="134"/>
    <x v="133"/>
    <x v="1"/>
    <x v="1"/>
    <x v="1"/>
    <n v="6"/>
    <n v="2000"/>
    <n v="12000"/>
  </r>
  <r>
    <n v="135"/>
    <x v="134"/>
    <x v="2"/>
    <x v="0"/>
    <x v="2"/>
    <n v="5"/>
    <n v="2500"/>
    <n v="12500"/>
  </r>
  <r>
    <n v="136"/>
    <x v="135"/>
    <x v="3"/>
    <x v="1"/>
    <x v="3"/>
    <n v="6"/>
    <n v="1000"/>
    <n v="6000"/>
  </r>
  <r>
    <n v="137"/>
    <x v="136"/>
    <x v="4"/>
    <x v="0"/>
    <x v="4"/>
    <n v="6"/>
    <n v="250"/>
    <n v="1500"/>
  </r>
  <r>
    <n v="138"/>
    <x v="137"/>
    <x v="5"/>
    <x v="0"/>
    <x v="5"/>
    <n v="7"/>
    <n v="300"/>
    <n v="2100"/>
  </r>
  <r>
    <n v="139"/>
    <x v="138"/>
    <x v="0"/>
    <x v="0"/>
    <x v="0"/>
    <n v="3"/>
    <n v="210"/>
    <n v="630"/>
  </r>
  <r>
    <n v="140"/>
    <x v="139"/>
    <x v="1"/>
    <x v="1"/>
    <x v="1"/>
    <n v="4"/>
    <n v="2000"/>
    <n v="8000"/>
  </r>
  <r>
    <n v="141"/>
    <x v="140"/>
    <x v="2"/>
    <x v="0"/>
    <x v="2"/>
    <n v="6"/>
    <n v="2500"/>
    <n v="15000"/>
  </r>
  <r>
    <n v="142"/>
    <x v="141"/>
    <x v="3"/>
    <x v="1"/>
    <x v="3"/>
    <n v="8"/>
    <n v="1000"/>
    <n v="8000"/>
  </r>
  <r>
    <n v="143"/>
    <x v="142"/>
    <x v="4"/>
    <x v="0"/>
    <x v="4"/>
    <n v="6"/>
    <n v="250"/>
    <n v="1500"/>
  </r>
  <r>
    <n v="144"/>
    <x v="143"/>
    <x v="5"/>
    <x v="0"/>
    <x v="5"/>
    <n v="4"/>
    <n v="300"/>
    <n v="1200"/>
  </r>
  <r>
    <n v="145"/>
    <x v="144"/>
    <x v="0"/>
    <x v="0"/>
    <x v="0"/>
    <n v="9"/>
    <n v="210"/>
    <n v="1890"/>
  </r>
  <r>
    <n v="146"/>
    <x v="145"/>
    <x v="1"/>
    <x v="1"/>
    <x v="1"/>
    <n v="3"/>
    <n v="2000"/>
    <n v="6000"/>
  </r>
  <r>
    <n v="147"/>
    <x v="146"/>
    <x v="2"/>
    <x v="0"/>
    <x v="2"/>
    <n v="7"/>
    <n v="2500"/>
    <n v="17500"/>
  </r>
  <r>
    <n v="148"/>
    <x v="147"/>
    <x v="3"/>
    <x v="1"/>
    <x v="3"/>
    <n v="6"/>
    <n v="1000"/>
    <n v="6000"/>
  </r>
  <r>
    <n v="149"/>
    <x v="148"/>
    <x v="4"/>
    <x v="0"/>
    <x v="4"/>
    <n v="4"/>
    <n v="250"/>
    <n v="1000"/>
  </r>
  <r>
    <n v="150"/>
    <x v="149"/>
    <x v="5"/>
    <x v="0"/>
    <x v="5"/>
    <n v="3"/>
    <n v="300"/>
    <n v="900"/>
  </r>
  <r>
    <n v="151"/>
    <x v="150"/>
    <x v="0"/>
    <x v="0"/>
    <x v="0"/>
    <n v="5"/>
    <n v="210"/>
    <n v="1050"/>
  </r>
  <r>
    <n v="152"/>
    <x v="151"/>
    <x v="1"/>
    <x v="1"/>
    <x v="1"/>
    <n v="7"/>
    <n v="2000"/>
    <n v="14000"/>
  </r>
  <r>
    <n v="153"/>
    <x v="152"/>
    <x v="2"/>
    <x v="0"/>
    <x v="2"/>
    <n v="4"/>
    <n v="2500"/>
    <n v="10000"/>
  </r>
  <r>
    <n v="154"/>
    <x v="153"/>
    <x v="3"/>
    <x v="1"/>
    <x v="3"/>
    <n v="5"/>
    <n v="1000"/>
    <n v="5000"/>
  </r>
  <r>
    <n v="155"/>
    <x v="154"/>
    <x v="4"/>
    <x v="0"/>
    <x v="4"/>
    <n v="6"/>
    <n v="250"/>
    <n v="1500"/>
  </r>
  <r>
    <n v="156"/>
    <x v="155"/>
    <x v="5"/>
    <x v="0"/>
    <x v="5"/>
    <n v="9"/>
    <n v="300"/>
    <n v="2700"/>
  </r>
  <r>
    <n v="157"/>
    <x v="156"/>
    <x v="0"/>
    <x v="0"/>
    <x v="0"/>
    <n v="6"/>
    <n v="210"/>
    <n v="1260"/>
  </r>
  <r>
    <n v="158"/>
    <x v="157"/>
    <x v="1"/>
    <x v="1"/>
    <x v="1"/>
    <n v="9"/>
    <n v="2000"/>
    <n v="18000"/>
  </r>
  <r>
    <n v="159"/>
    <x v="158"/>
    <x v="2"/>
    <x v="0"/>
    <x v="2"/>
    <n v="8"/>
    <n v="2500"/>
    <n v="20000"/>
  </r>
  <r>
    <n v="160"/>
    <x v="159"/>
    <x v="3"/>
    <x v="1"/>
    <x v="3"/>
    <n v="7"/>
    <n v="1000"/>
    <n v="7000"/>
  </r>
  <r>
    <n v="161"/>
    <x v="160"/>
    <x v="4"/>
    <x v="0"/>
    <x v="4"/>
    <n v="8"/>
    <n v="250"/>
    <n v="2000"/>
  </r>
  <r>
    <n v="162"/>
    <x v="161"/>
    <x v="5"/>
    <x v="0"/>
    <x v="5"/>
    <n v="6"/>
    <n v="300"/>
    <n v="1800"/>
  </r>
  <r>
    <n v="163"/>
    <x v="162"/>
    <x v="0"/>
    <x v="0"/>
    <x v="0"/>
    <n v="5"/>
    <n v="210"/>
    <n v="1050"/>
  </r>
  <r>
    <n v="164"/>
    <x v="163"/>
    <x v="1"/>
    <x v="1"/>
    <x v="1"/>
    <n v="3"/>
    <n v="2000"/>
    <n v="6000"/>
  </r>
  <r>
    <n v="165"/>
    <x v="164"/>
    <x v="2"/>
    <x v="0"/>
    <x v="2"/>
    <n v="9"/>
    <n v="2500"/>
    <n v="22500"/>
  </r>
  <r>
    <n v="166"/>
    <x v="165"/>
    <x v="3"/>
    <x v="1"/>
    <x v="3"/>
    <n v="6"/>
    <n v="1000"/>
    <n v="6000"/>
  </r>
  <r>
    <n v="167"/>
    <x v="166"/>
    <x v="4"/>
    <x v="0"/>
    <x v="4"/>
    <n v="3"/>
    <n v="250"/>
    <n v="750"/>
  </r>
  <r>
    <n v="168"/>
    <x v="167"/>
    <x v="5"/>
    <x v="0"/>
    <x v="5"/>
    <n v="7"/>
    <n v="300"/>
    <n v="2100"/>
  </r>
  <r>
    <n v="169"/>
    <x v="168"/>
    <x v="0"/>
    <x v="0"/>
    <x v="0"/>
    <n v="7"/>
    <n v="210"/>
    <n v="1470"/>
  </r>
  <r>
    <n v="170"/>
    <x v="169"/>
    <x v="1"/>
    <x v="1"/>
    <x v="1"/>
    <n v="8"/>
    <n v="2000"/>
    <n v="16000"/>
  </r>
  <r>
    <n v="171"/>
    <x v="170"/>
    <x v="2"/>
    <x v="0"/>
    <x v="2"/>
    <n v="7"/>
    <n v="2500"/>
    <n v="17500"/>
  </r>
  <r>
    <n v="172"/>
    <x v="171"/>
    <x v="3"/>
    <x v="1"/>
    <x v="3"/>
    <n v="6"/>
    <n v="1000"/>
    <n v="6000"/>
  </r>
  <r>
    <n v="173"/>
    <x v="172"/>
    <x v="4"/>
    <x v="0"/>
    <x v="4"/>
    <n v="6"/>
    <n v="250"/>
    <n v="1500"/>
  </r>
  <r>
    <n v="174"/>
    <x v="173"/>
    <x v="5"/>
    <x v="0"/>
    <x v="5"/>
    <n v="9"/>
    <n v="300"/>
    <n v="2700"/>
  </r>
  <r>
    <n v="175"/>
    <x v="174"/>
    <x v="0"/>
    <x v="0"/>
    <x v="0"/>
    <n v="9"/>
    <n v="210"/>
    <n v="1890"/>
  </r>
  <r>
    <n v="176"/>
    <x v="175"/>
    <x v="1"/>
    <x v="1"/>
    <x v="1"/>
    <n v="4"/>
    <n v="2000"/>
    <n v="8000"/>
  </r>
  <r>
    <n v="177"/>
    <x v="176"/>
    <x v="2"/>
    <x v="0"/>
    <x v="2"/>
    <n v="7"/>
    <n v="2500"/>
    <n v="17500"/>
  </r>
  <r>
    <n v="178"/>
    <x v="177"/>
    <x v="3"/>
    <x v="1"/>
    <x v="3"/>
    <n v="5"/>
    <n v="1000"/>
    <n v="5000"/>
  </r>
  <r>
    <n v="179"/>
    <x v="178"/>
    <x v="4"/>
    <x v="0"/>
    <x v="4"/>
    <n v="4"/>
    <n v="250"/>
    <n v="1000"/>
  </r>
  <r>
    <n v="180"/>
    <x v="179"/>
    <x v="5"/>
    <x v="0"/>
    <x v="5"/>
    <n v="7"/>
    <n v="300"/>
    <n v="2100"/>
  </r>
  <r>
    <n v="181"/>
    <x v="180"/>
    <x v="0"/>
    <x v="0"/>
    <x v="0"/>
    <n v="4"/>
    <n v="210"/>
    <n v="840"/>
  </r>
  <r>
    <n v="182"/>
    <x v="181"/>
    <x v="1"/>
    <x v="1"/>
    <x v="1"/>
    <n v="6"/>
    <n v="2000"/>
    <n v="12000"/>
  </r>
  <r>
    <n v="183"/>
    <x v="182"/>
    <x v="2"/>
    <x v="0"/>
    <x v="2"/>
    <n v="8"/>
    <n v="2500"/>
    <n v="20000"/>
  </r>
  <r>
    <n v="184"/>
    <x v="183"/>
    <x v="3"/>
    <x v="1"/>
    <x v="3"/>
    <n v="9"/>
    <n v="1000"/>
    <n v="9000"/>
  </r>
  <r>
    <n v="185"/>
    <x v="184"/>
    <x v="4"/>
    <x v="0"/>
    <x v="4"/>
    <n v="3"/>
    <n v="250"/>
    <n v="750"/>
  </r>
  <r>
    <n v="186"/>
    <x v="185"/>
    <x v="5"/>
    <x v="0"/>
    <x v="5"/>
    <n v="6"/>
    <n v="300"/>
    <n v="1800"/>
  </r>
  <r>
    <n v="187"/>
    <x v="186"/>
    <x v="0"/>
    <x v="0"/>
    <x v="0"/>
    <n v="7"/>
    <n v="210"/>
    <n v="1470"/>
  </r>
  <r>
    <n v="188"/>
    <x v="187"/>
    <x v="1"/>
    <x v="1"/>
    <x v="1"/>
    <n v="8"/>
    <n v="2000"/>
    <n v="16000"/>
  </r>
  <r>
    <n v="189"/>
    <x v="188"/>
    <x v="2"/>
    <x v="0"/>
    <x v="2"/>
    <n v="8"/>
    <n v="2500"/>
    <n v="20000"/>
  </r>
  <r>
    <n v="190"/>
    <x v="189"/>
    <x v="3"/>
    <x v="1"/>
    <x v="3"/>
    <n v="9"/>
    <n v="1000"/>
    <n v="9000"/>
  </r>
  <r>
    <n v="191"/>
    <x v="190"/>
    <x v="4"/>
    <x v="0"/>
    <x v="4"/>
    <n v="7"/>
    <n v="250"/>
    <n v="1750"/>
  </r>
  <r>
    <n v="192"/>
    <x v="191"/>
    <x v="5"/>
    <x v="0"/>
    <x v="5"/>
    <n v="6"/>
    <n v="300"/>
    <n v="1800"/>
  </r>
  <r>
    <n v="193"/>
    <x v="192"/>
    <x v="0"/>
    <x v="0"/>
    <x v="0"/>
    <n v="3"/>
    <n v="210"/>
    <n v="630"/>
  </r>
  <r>
    <n v="194"/>
    <x v="193"/>
    <x v="1"/>
    <x v="1"/>
    <x v="1"/>
    <n v="5"/>
    <n v="2000"/>
    <n v="10000"/>
  </r>
  <r>
    <n v="195"/>
    <x v="194"/>
    <x v="2"/>
    <x v="0"/>
    <x v="2"/>
    <n v="4"/>
    <n v="2500"/>
    <n v="10000"/>
  </r>
  <r>
    <n v="196"/>
    <x v="195"/>
    <x v="3"/>
    <x v="1"/>
    <x v="3"/>
    <n v="9"/>
    <n v="1000"/>
    <n v="9000"/>
  </r>
  <r>
    <n v="197"/>
    <x v="196"/>
    <x v="4"/>
    <x v="0"/>
    <x v="4"/>
    <n v="6"/>
    <n v="250"/>
    <n v="1500"/>
  </r>
  <r>
    <n v="198"/>
    <x v="197"/>
    <x v="5"/>
    <x v="0"/>
    <x v="5"/>
    <n v="3"/>
    <n v="300"/>
    <n v="900"/>
  </r>
  <r>
    <n v="199"/>
    <x v="198"/>
    <x v="0"/>
    <x v="0"/>
    <x v="0"/>
    <n v="7"/>
    <n v="210"/>
    <n v="1470"/>
  </r>
  <r>
    <n v="200"/>
    <x v="199"/>
    <x v="1"/>
    <x v="1"/>
    <x v="1"/>
    <n v="6"/>
    <n v="2000"/>
    <n v="12000"/>
  </r>
  <r>
    <n v="201"/>
    <x v="200"/>
    <x v="2"/>
    <x v="0"/>
    <x v="2"/>
    <n v="3"/>
    <n v="2500"/>
    <n v="7500"/>
  </r>
  <r>
    <n v="202"/>
    <x v="201"/>
    <x v="3"/>
    <x v="1"/>
    <x v="3"/>
    <n v="5"/>
    <n v="1000"/>
    <n v="5000"/>
  </r>
  <r>
    <n v="203"/>
    <x v="202"/>
    <x v="4"/>
    <x v="0"/>
    <x v="4"/>
    <n v="3"/>
    <n v="250"/>
    <n v="750"/>
  </r>
  <r>
    <n v="204"/>
    <x v="203"/>
    <x v="5"/>
    <x v="0"/>
    <x v="5"/>
    <n v="8"/>
    <n v="300"/>
    <n v="2400"/>
  </r>
  <r>
    <n v="205"/>
    <x v="204"/>
    <x v="0"/>
    <x v="0"/>
    <x v="0"/>
    <n v="6"/>
    <n v="210"/>
    <n v="1260"/>
  </r>
  <r>
    <n v="206"/>
    <x v="205"/>
    <x v="1"/>
    <x v="1"/>
    <x v="1"/>
    <n v="3"/>
    <n v="2000"/>
    <n v="6000"/>
  </r>
  <r>
    <n v="207"/>
    <x v="206"/>
    <x v="2"/>
    <x v="0"/>
    <x v="2"/>
    <n v="3"/>
    <n v="2500"/>
    <n v="7500"/>
  </r>
  <r>
    <n v="208"/>
    <x v="207"/>
    <x v="3"/>
    <x v="1"/>
    <x v="3"/>
    <n v="4"/>
    <n v="1000"/>
    <n v="4000"/>
  </r>
  <r>
    <n v="209"/>
    <x v="208"/>
    <x v="4"/>
    <x v="0"/>
    <x v="4"/>
    <n v="4"/>
    <n v="250"/>
    <n v="1000"/>
  </r>
  <r>
    <n v="210"/>
    <x v="209"/>
    <x v="5"/>
    <x v="0"/>
    <x v="5"/>
    <n v="5"/>
    <n v="300"/>
    <n v="1500"/>
  </r>
  <r>
    <n v="211"/>
    <x v="210"/>
    <x v="0"/>
    <x v="0"/>
    <x v="0"/>
    <n v="4"/>
    <n v="210"/>
    <n v="840"/>
  </r>
  <r>
    <n v="212"/>
    <x v="211"/>
    <x v="1"/>
    <x v="1"/>
    <x v="1"/>
    <n v="7"/>
    <n v="2000"/>
    <n v="14000"/>
  </r>
  <r>
    <n v="213"/>
    <x v="212"/>
    <x v="2"/>
    <x v="0"/>
    <x v="2"/>
    <n v="6"/>
    <n v="2500"/>
    <n v="15000"/>
  </r>
  <r>
    <n v="214"/>
    <x v="213"/>
    <x v="3"/>
    <x v="1"/>
    <x v="3"/>
    <n v="6"/>
    <n v="1000"/>
    <n v="6000"/>
  </r>
  <r>
    <n v="215"/>
    <x v="214"/>
    <x v="4"/>
    <x v="0"/>
    <x v="4"/>
    <n v="9"/>
    <n v="250"/>
    <n v="2250"/>
  </r>
  <r>
    <n v="216"/>
    <x v="215"/>
    <x v="5"/>
    <x v="0"/>
    <x v="5"/>
    <n v="8"/>
    <n v="300"/>
    <n v="2400"/>
  </r>
  <r>
    <n v="217"/>
    <x v="216"/>
    <x v="0"/>
    <x v="0"/>
    <x v="0"/>
    <n v="9"/>
    <n v="210"/>
    <n v="1890"/>
  </r>
  <r>
    <n v="218"/>
    <x v="217"/>
    <x v="1"/>
    <x v="1"/>
    <x v="1"/>
    <n v="9"/>
    <n v="2000"/>
    <n v="18000"/>
  </r>
  <r>
    <n v="219"/>
    <x v="218"/>
    <x v="2"/>
    <x v="0"/>
    <x v="2"/>
    <n v="8"/>
    <n v="2500"/>
    <n v="20000"/>
  </r>
  <r>
    <n v="220"/>
    <x v="219"/>
    <x v="3"/>
    <x v="1"/>
    <x v="3"/>
    <n v="7"/>
    <n v="1000"/>
    <n v="7000"/>
  </r>
  <r>
    <n v="221"/>
    <x v="220"/>
    <x v="4"/>
    <x v="0"/>
    <x v="4"/>
    <n v="6"/>
    <n v="250"/>
    <n v="1500"/>
  </r>
  <r>
    <n v="222"/>
    <x v="221"/>
    <x v="5"/>
    <x v="0"/>
    <x v="5"/>
    <n v="4"/>
    <n v="300"/>
    <n v="1200"/>
  </r>
  <r>
    <n v="223"/>
    <x v="222"/>
    <x v="0"/>
    <x v="0"/>
    <x v="0"/>
    <n v="6"/>
    <n v="210"/>
    <n v="1260"/>
  </r>
  <r>
    <n v="224"/>
    <x v="223"/>
    <x v="1"/>
    <x v="1"/>
    <x v="1"/>
    <n v="9"/>
    <n v="2000"/>
    <n v="18000"/>
  </r>
  <r>
    <n v="225"/>
    <x v="224"/>
    <x v="2"/>
    <x v="0"/>
    <x v="2"/>
    <n v="8"/>
    <n v="2500"/>
    <n v="20000"/>
  </r>
  <r>
    <n v="226"/>
    <x v="225"/>
    <x v="3"/>
    <x v="1"/>
    <x v="3"/>
    <n v="4"/>
    <n v="1000"/>
    <n v="4000"/>
  </r>
  <r>
    <n v="227"/>
    <x v="226"/>
    <x v="4"/>
    <x v="0"/>
    <x v="4"/>
    <n v="5"/>
    <n v="250"/>
    <n v="1250"/>
  </r>
  <r>
    <n v="228"/>
    <x v="227"/>
    <x v="5"/>
    <x v="0"/>
    <x v="5"/>
    <n v="6"/>
    <n v="300"/>
    <n v="1800"/>
  </r>
  <r>
    <n v="229"/>
    <x v="228"/>
    <x v="0"/>
    <x v="0"/>
    <x v="0"/>
    <n v="8"/>
    <n v="210"/>
    <n v="1680"/>
  </r>
  <r>
    <n v="230"/>
    <x v="229"/>
    <x v="1"/>
    <x v="1"/>
    <x v="1"/>
    <n v="5"/>
    <n v="2000"/>
    <n v="10000"/>
  </r>
  <r>
    <n v="231"/>
    <x v="230"/>
    <x v="2"/>
    <x v="0"/>
    <x v="2"/>
    <n v="9"/>
    <n v="2500"/>
    <n v="22500"/>
  </r>
  <r>
    <n v="232"/>
    <x v="231"/>
    <x v="3"/>
    <x v="1"/>
    <x v="3"/>
    <n v="4"/>
    <n v="1000"/>
    <n v="4000"/>
  </r>
  <r>
    <n v="233"/>
    <x v="232"/>
    <x v="4"/>
    <x v="0"/>
    <x v="4"/>
    <n v="9"/>
    <n v="250"/>
    <n v="2250"/>
  </r>
  <r>
    <n v="234"/>
    <x v="233"/>
    <x v="5"/>
    <x v="0"/>
    <x v="5"/>
    <n v="9"/>
    <n v="300"/>
    <n v="2700"/>
  </r>
  <r>
    <n v="235"/>
    <x v="234"/>
    <x v="0"/>
    <x v="0"/>
    <x v="0"/>
    <n v="6"/>
    <n v="210"/>
    <n v="1260"/>
  </r>
  <r>
    <n v="236"/>
    <x v="235"/>
    <x v="1"/>
    <x v="1"/>
    <x v="1"/>
    <n v="3"/>
    <n v="2000"/>
    <n v="6000"/>
  </r>
  <r>
    <n v="237"/>
    <x v="236"/>
    <x v="2"/>
    <x v="0"/>
    <x v="2"/>
    <n v="4"/>
    <n v="2500"/>
    <n v="10000"/>
  </r>
  <r>
    <n v="238"/>
    <x v="237"/>
    <x v="3"/>
    <x v="1"/>
    <x v="3"/>
    <n v="4"/>
    <n v="1000"/>
    <n v="4000"/>
  </r>
  <r>
    <n v="239"/>
    <x v="238"/>
    <x v="4"/>
    <x v="0"/>
    <x v="4"/>
    <n v="9"/>
    <n v="250"/>
    <n v="2250"/>
  </r>
  <r>
    <n v="240"/>
    <x v="239"/>
    <x v="5"/>
    <x v="0"/>
    <x v="5"/>
    <n v="3"/>
    <n v="300"/>
    <n v="900"/>
  </r>
  <r>
    <n v="241"/>
    <x v="240"/>
    <x v="0"/>
    <x v="0"/>
    <x v="0"/>
    <n v="4"/>
    <n v="210"/>
    <n v="840"/>
  </r>
  <r>
    <n v="242"/>
    <x v="241"/>
    <x v="1"/>
    <x v="1"/>
    <x v="1"/>
    <n v="7"/>
    <n v="2000"/>
    <n v="14000"/>
  </r>
  <r>
    <n v="243"/>
    <x v="242"/>
    <x v="2"/>
    <x v="0"/>
    <x v="2"/>
    <n v="6"/>
    <n v="2500"/>
    <n v="15000"/>
  </r>
  <r>
    <n v="244"/>
    <x v="243"/>
    <x v="3"/>
    <x v="1"/>
    <x v="3"/>
    <n v="7"/>
    <n v="1000"/>
    <n v="7000"/>
  </r>
  <r>
    <n v="245"/>
    <x v="244"/>
    <x v="4"/>
    <x v="0"/>
    <x v="4"/>
    <n v="9"/>
    <n v="250"/>
    <n v="2250"/>
  </r>
  <r>
    <n v="246"/>
    <x v="245"/>
    <x v="5"/>
    <x v="0"/>
    <x v="5"/>
    <n v="8"/>
    <n v="300"/>
    <n v="2400"/>
  </r>
  <r>
    <n v="247"/>
    <x v="246"/>
    <x v="0"/>
    <x v="0"/>
    <x v="0"/>
    <n v="6"/>
    <n v="210"/>
    <n v="1260"/>
  </r>
  <r>
    <n v="248"/>
    <x v="247"/>
    <x v="1"/>
    <x v="1"/>
    <x v="1"/>
    <n v="6"/>
    <n v="2000"/>
    <n v="12000"/>
  </r>
  <r>
    <n v="249"/>
    <x v="248"/>
    <x v="2"/>
    <x v="0"/>
    <x v="2"/>
    <n v="5"/>
    <n v="2500"/>
    <n v="12500"/>
  </r>
  <r>
    <n v="250"/>
    <x v="249"/>
    <x v="3"/>
    <x v="1"/>
    <x v="3"/>
    <n v="7"/>
    <n v="1000"/>
    <n v="7000"/>
  </r>
  <r>
    <n v="251"/>
    <x v="250"/>
    <x v="4"/>
    <x v="0"/>
    <x v="4"/>
    <n v="4"/>
    <n v="250"/>
    <n v="1000"/>
  </r>
  <r>
    <n v="252"/>
    <x v="251"/>
    <x v="5"/>
    <x v="0"/>
    <x v="5"/>
    <n v="7"/>
    <n v="300"/>
    <n v="2100"/>
  </r>
  <r>
    <n v="253"/>
    <x v="252"/>
    <x v="0"/>
    <x v="0"/>
    <x v="0"/>
    <n v="7"/>
    <n v="210"/>
    <n v="1470"/>
  </r>
  <r>
    <n v="254"/>
    <x v="253"/>
    <x v="1"/>
    <x v="1"/>
    <x v="1"/>
    <n v="8"/>
    <n v="2000"/>
    <n v="16000"/>
  </r>
  <r>
    <n v="255"/>
    <x v="254"/>
    <x v="2"/>
    <x v="0"/>
    <x v="2"/>
    <n v="5"/>
    <n v="2500"/>
    <n v="12500"/>
  </r>
  <r>
    <n v="256"/>
    <x v="255"/>
    <x v="3"/>
    <x v="1"/>
    <x v="3"/>
    <n v="6"/>
    <n v="1000"/>
    <n v="6000"/>
  </r>
  <r>
    <n v="257"/>
    <x v="256"/>
    <x v="4"/>
    <x v="0"/>
    <x v="4"/>
    <n v="9"/>
    <n v="250"/>
    <n v="2250"/>
  </r>
  <r>
    <n v="258"/>
    <x v="257"/>
    <x v="5"/>
    <x v="0"/>
    <x v="5"/>
    <n v="5"/>
    <n v="300"/>
    <n v="1500"/>
  </r>
  <r>
    <n v="259"/>
    <x v="258"/>
    <x v="0"/>
    <x v="0"/>
    <x v="0"/>
    <n v="3"/>
    <n v="210"/>
    <n v="630"/>
  </r>
  <r>
    <n v="260"/>
    <x v="259"/>
    <x v="1"/>
    <x v="1"/>
    <x v="1"/>
    <n v="4"/>
    <n v="2000"/>
    <n v="8000"/>
  </r>
  <r>
    <n v="261"/>
    <x v="260"/>
    <x v="2"/>
    <x v="0"/>
    <x v="2"/>
    <n v="6"/>
    <n v="2500"/>
    <n v="15000"/>
  </r>
  <r>
    <n v="262"/>
    <x v="261"/>
    <x v="3"/>
    <x v="1"/>
    <x v="3"/>
    <n v="6"/>
    <n v="1000"/>
    <n v="6000"/>
  </r>
  <r>
    <n v="263"/>
    <x v="262"/>
    <x v="4"/>
    <x v="0"/>
    <x v="4"/>
    <n v="3"/>
    <n v="250"/>
    <n v="750"/>
  </r>
  <r>
    <n v="264"/>
    <x v="263"/>
    <x v="5"/>
    <x v="0"/>
    <x v="5"/>
    <n v="5"/>
    <n v="300"/>
    <n v="1500"/>
  </r>
  <r>
    <n v="265"/>
    <x v="264"/>
    <x v="0"/>
    <x v="0"/>
    <x v="0"/>
    <n v="5"/>
    <n v="210"/>
    <n v="1050"/>
  </r>
  <r>
    <n v="266"/>
    <x v="265"/>
    <x v="1"/>
    <x v="1"/>
    <x v="1"/>
    <n v="8"/>
    <n v="2000"/>
    <n v="16000"/>
  </r>
  <r>
    <n v="267"/>
    <x v="266"/>
    <x v="2"/>
    <x v="0"/>
    <x v="2"/>
    <n v="8"/>
    <n v="2500"/>
    <n v="20000"/>
  </r>
  <r>
    <n v="268"/>
    <x v="267"/>
    <x v="3"/>
    <x v="1"/>
    <x v="3"/>
    <n v="9"/>
    <n v="1000"/>
    <n v="9000"/>
  </r>
  <r>
    <n v="269"/>
    <x v="268"/>
    <x v="4"/>
    <x v="0"/>
    <x v="4"/>
    <n v="9"/>
    <n v="250"/>
    <n v="2250"/>
  </r>
  <r>
    <n v="270"/>
    <x v="269"/>
    <x v="5"/>
    <x v="0"/>
    <x v="5"/>
    <n v="8"/>
    <n v="300"/>
    <n v="2400"/>
  </r>
  <r>
    <n v="271"/>
    <x v="270"/>
    <x v="0"/>
    <x v="0"/>
    <x v="0"/>
    <n v="7"/>
    <n v="210"/>
    <n v="1470"/>
  </r>
  <r>
    <n v="272"/>
    <x v="271"/>
    <x v="1"/>
    <x v="1"/>
    <x v="1"/>
    <n v="3"/>
    <n v="2000"/>
    <n v="6000"/>
  </r>
  <r>
    <n v="273"/>
    <x v="272"/>
    <x v="2"/>
    <x v="0"/>
    <x v="2"/>
    <n v="4"/>
    <n v="2500"/>
    <n v="10000"/>
  </r>
  <r>
    <n v="274"/>
    <x v="273"/>
    <x v="3"/>
    <x v="1"/>
    <x v="3"/>
    <n v="7"/>
    <n v="1000"/>
    <n v="7000"/>
  </r>
  <r>
    <n v="275"/>
    <x v="274"/>
    <x v="4"/>
    <x v="0"/>
    <x v="4"/>
    <n v="8"/>
    <n v="250"/>
    <n v="2000"/>
  </r>
  <r>
    <n v="276"/>
    <x v="275"/>
    <x v="5"/>
    <x v="0"/>
    <x v="5"/>
    <n v="9"/>
    <n v="300"/>
    <n v="2700"/>
  </r>
  <r>
    <n v="277"/>
    <x v="276"/>
    <x v="0"/>
    <x v="0"/>
    <x v="0"/>
    <n v="6"/>
    <n v="210"/>
    <n v="1260"/>
  </r>
  <r>
    <n v="278"/>
    <x v="277"/>
    <x v="1"/>
    <x v="1"/>
    <x v="1"/>
    <n v="9"/>
    <n v="2000"/>
    <n v="18000"/>
  </r>
  <r>
    <n v="279"/>
    <x v="278"/>
    <x v="2"/>
    <x v="0"/>
    <x v="2"/>
    <n v="9"/>
    <n v="2500"/>
    <n v="22500"/>
  </r>
  <r>
    <n v="280"/>
    <x v="279"/>
    <x v="3"/>
    <x v="1"/>
    <x v="3"/>
    <n v="5"/>
    <n v="1000"/>
    <n v="5000"/>
  </r>
  <r>
    <n v="281"/>
    <x v="280"/>
    <x v="4"/>
    <x v="0"/>
    <x v="4"/>
    <n v="3"/>
    <n v="250"/>
    <n v="750"/>
  </r>
  <r>
    <n v="282"/>
    <x v="281"/>
    <x v="5"/>
    <x v="0"/>
    <x v="5"/>
    <n v="7"/>
    <n v="300"/>
    <n v="2100"/>
  </r>
  <r>
    <n v="283"/>
    <x v="282"/>
    <x v="0"/>
    <x v="0"/>
    <x v="0"/>
    <n v="5"/>
    <n v="210"/>
    <n v="1050"/>
  </r>
  <r>
    <n v="284"/>
    <x v="283"/>
    <x v="1"/>
    <x v="1"/>
    <x v="1"/>
    <n v="3"/>
    <n v="2000"/>
    <n v="6000"/>
  </r>
  <r>
    <n v="285"/>
    <x v="284"/>
    <x v="2"/>
    <x v="0"/>
    <x v="2"/>
    <n v="9"/>
    <n v="2500"/>
    <n v="22500"/>
  </r>
  <r>
    <n v="286"/>
    <x v="285"/>
    <x v="3"/>
    <x v="1"/>
    <x v="3"/>
    <n v="7"/>
    <n v="1000"/>
    <n v="7000"/>
  </r>
  <r>
    <n v="287"/>
    <x v="286"/>
    <x v="4"/>
    <x v="0"/>
    <x v="4"/>
    <n v="6"/>
    <n v="250"/>
    <n v="1500"/>
  </r>
  <r>
    <n v="288"/>
    <x v="287"/>
    <x v="5"/>
    <x v="0"/>
    <x v="5"/>
    <n v="5"/>
    <n v="300"/>
    <n v="1500"/>
  </r>
  <r>
    <n v="289"/>
    <x v="288"/>
    <x v="0"/>
    <x v="0"/>
    <x v="0"/>
    <n v="5"/>
    <n v="210"/>
    <n v="1050"/>
  </r>
  <r>
    <n v="290"/>
    <x v="289"/>
    <x v="1"/>
    <x v="1"/>
    <x v="1"/>
    <n v="6"/>
    <n v="2000"/>
    <n v="12000"/>
  </r>
  <r>
    <n v="291"/>
    <x v="290"/>
    <x v="2"/>
    <x v="0"/>
    <x v="2"/>
    <n v="4"/>
    <n v="2500"/>
    <n v="10000"/>
  </r>
  <r>
    <n v="292"/>
    <x v="291"/>
    <x v="3"/>
    <x v="1"/>
    <x v="3"/>
    <n v="9"/>
    <n v="1000"/>
    <n v="9000"/>
  </r>
  <r>
    <n v="293"/>
    <x v="292"/>
    <x v="4"/>
    <x v="0"/>
    <x v="4"/>
    <n v="6"/>
    <n v="250"/>
    <n v="1500"/>
  </r>
  <r>
    <n v="294"/>
    <x v="293"/>
    <x v="5"/>
    <x v="0"/>
    <x v="5"/>
    <n v="7"/>
    <n v="300"/>
    <n v="2100"/>
  </r>
  <r>
    <n v="295"/>
    <x v="294"/>
    <x v="0"/>
    <x v="0"/>
    <x v="0"/>
    <n v="9"/>
    <n v="210"/>
    <n v="1890"/>
  </r>
  <r>
    <n v="296"/>
    <x v="295"/>
    <x v="1"/>
    <x v="1"/>
    <x v="1"/>
    <n v="3"/>
    <n v="2000"/>
    <n v="6000"/>
  </r>
  <r>
    <n v="297"/>
    <x v="296"/>
    <x v="2"/>
    <x v="0"/>
    <x v="2"/>
    <n v="5"/>
    <n v="2500"/>
    <n v="12500"/>
  </r>
  <r>
    <n v="298"/>
    <x v="297"/>
    <x v="3"/>
    <x v="1"/>
    <x v="3"/>
    <n v="4"/>
    <n v="1000"/>
    <n v="4000"/>
  </r>
  <r>
    <n v="299"/>
    <x v="298"/>
    <x v="4"/>
    <x v="0"/>
    <x v="4"/>
    <n v="4"/>
    <n v="250"/>
    <n v="1000"/>
  </r>
  <r>
    <n v="300"/>
    <x v="299"/>
    <x v="5"/>
    <x v="0"/>
    <x v="5"/>
    <n v="3"/>
    <n v="300"/>
    <n v="9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5" minRefreshableVersion="5" useAutoFormatting="1" itemPrintTitles="1" createdVersion="8" indent="0" outline="1" outlineData="1" multipleFieldFilters="0">
  <location ref="A3:A4" firstHeaderRow="1" firstDataRow="1" firstDataCol="0"/>
  <pivotFields count="8">
    <pivotField showAll="0"/>
    <pivotField numFmtId="14" showAll="0">
      <items count="3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t="default"/>
      </items>
    </pivotField>
    <pivotField showAll="0"/>
    <pivotField showAll="0">
      <items count="3">
        <item x="0"/>
        <item x="1"/>
        <item t="default"/>
      </items>
    </pivotField>
    <pivotField showAll="0">
      <items count="7">
        <item x="5"/>
        <item x="2"/>
        <item x="0"/>
        <item x="1"/>
        <item x="3"/>
        <item x="4"/>
        <item t="default"/>
      </items>
    </pivotField>
    <pivotField dataField="1" showAll="0"/>
    <pivotField showAll="0"/>
    <pivotField showAll="0"/>
  </pivotFields>
  <rowItems count="1">
    <i/>
  </rowItems>
  <colItems count="1">
    <i/>
  </colItems>
  <dataFields count="1">
    <dataField name="Sum of Qty"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5" minRefreshableVersion="5" useAutoFormatting="1" itemPrintTitles="1" createdVersion="8" indent="0" outline="1" outlineData="1" multipleFieldFilters="0" chartFormat="10">
  <location ref="E1:F8" firstHeaderRow="1" firstDataRow="1" firstDataCol="1"/>
  <pivotFields count="8">
    <pivotField showAll="0"/>
    <pivotField numFmtId="14" showAll="0">
      <items count="3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t="default"/>
      </items>
    </pivotField>
    <pivotField axis="axisRow" showAll="0">
      <items count="7">
        <item x="5"/>
        <item x="1"/>
        <item x="3"/>
        <item x="4"/>
        <item x="2"/>
        <item x="0"/>
        <item t="default"/>
      </items>
    </pivotField>
    <pivotField showAll="0">
      <items count="3">
        <item x="0"/>
        <item x="1"/>
        <item t="default"/>
      </items>
    </pivotField>
    <pivotField showAll="0">
      <items count="7">
        <item x="5"/>
        <item x="2"/>
        <item x="0"/>
        <item x="1"/>
        <item x="3"/>
        <item x="4"/>
        <item t="default"/>
      </items>
    </pivotField>
    <pivotField showAll="0"/>
    <pivotField showAll="0"/>
    <pivotField dataField="1" showAll="0"/>
  </pivotFields>
  <rowFields count="1">
    <field x="2"/>
  </rowFields>
  <rowItems count="7">
    <i>
      <x/>
    </i>
    <i>
      <x v="1"/>
    </i>
    <i>
      <x v="2"/>
    </i>
    <i>
      <x v="3"/>
    </i>
    <i>
      <x v="4"/>
    </i>
    <i>
      <x v="5"/>
    </i>
    <i t="grand">
      <x/>
    </i>
  </rowItems>
  <colItems count="1">
    <i/>
  </colItems>
  <dataFields count="1">
    <dataField name="Sum of Amount" fld="7" baseField="0" baseItem="0"/>
  </dataFields>
  <chartFormats count="3">
    <chartFormat chart="4"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5" minRefreshableVersion="5" useAutoFormatting="1" itemPrintTitles="1" createdVersion="8" indent="0" outline="1" outlineData="1" multipleFieldFilters="0">
  <location ref="A12:A13" firstHeaderRow="1" firstDataRow="1" firstDataCol="0"/>
  <pivotFields count="8">
    <pivotField showAll="0"/>
    <pivotField numFmtId="14" showAll="0">
      <items count="3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t="default"/>
      </items>
    </pivotField>
    <pivotField showAll="0"/>
    <pivotField showAll="0">
      <items count="3">
        <item x="0"/>
        <item x="1"/>
        <item t="default"/>
      </items>
    </pivotField>
    <pivotField showAll="0">
      <items count="7">
        <item x="5"/>
        <item x="2"/>
        <item x="0"/>
        <item x="1"/>
        <item x="3"/>
        <item x="4"/>
        <item t="default"/>
      </items>
    </pivotField>
    <pivotField dataField="1" showAll="0"/>
    <pivotField showAll="0"/>
    <pivotField showAll="0"/>
  </pivotFields>
  <rowItems count="1">
    <i/>
  </rowItems>
  <colItems count="1">
    <i/>
  </colItems>
  <dataFields count="1">
    <dataField name="Sum of Qty"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5" minRefreshableVersion="5" useAutoFormatting="1" itemPrintTitles="1" createdVersion="8" indent="0" outline="1" outlineData="1" multipleFieldFilters="0">
  <location ref="A8:A9" firstHeaderRow="1" firstDataRow="1" firstDataCol="0"/>
  <pivotFields count="8">
    <pivotField showAll="0"/>
    <pivotField numFmtId="14" showAll="0">
      <items count="3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t="default"/>
      </items>
    </pivotField>
    <pivotField showAll="0"/>
    <pivotField showAll="0">
      <items count="3">
        <item x="0"/>
        <item x="1"/>
        <item t="default"/>
      </items>
    </pivotField>
    <pivotField showAll="0">
      <items count="7">
        <item x="5"/>
        <item x="2"/>
        <item x="0"/>
        <item x="1"/>
        <item x="3"/>
        <item x="4"/>
        <item t="default"/>
      </items>
    </pivotField>
    <pivotField showAll="0"/>
    <pivotField showAll="0"/>
    <pivotField dataField="1" showAll="0"/>
  </pivotFields>
  <rowItems count="1">
    <i/>
  </rowItems>
  <colItems count="1">
    <i/>
  </colItems>
  <dataFields count="1">
    <dataField name="Sum of Amount"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37">
  <location ref="A3:B10" firstHeaderRow="1" firstDataRow="1" firstDataCol="1"/>
  <pivotFields count="8">
    <pivotField showAll="0"/>
    <pivotField numFmtId="14" showAll="0"/>
    <pivotField showAll="0"/>
    <pivotField showAll="0">
      <items count="3">
        <item x="0"/>
        <item x="1"/>
        <item t="default"/>
      </items>
    </pivotField>
    <pivotField axis="axisRow" showAll="0">
      <items count="7">
        <item x="5"/>
        <item x="2"/>
        <item x="0"/>
        <item x="1"/>
        <item x="3"/>
        <item x="4"/>
        <item t="default"/>
      </items>
    </pivotField>
    <pivotField dataField="1" showAll="0"/>
    <pivotField showAll="0"/>
    <pivotField showAll="0"/>
  </pivotFields>
  <rowFields count="1">
    <field x="4"/>
  </rowFields>
  <rowItems count="7">
    <i>
      <x/>
    </i>
    <i>
      <x v="1"/>
    </i>
    <i>
      <x v="2"/>
    </i>
    <i>
      <x v="3"/>
    </i>
    <i>
      <x v="4"/>
    </i>
    <i>
      <x v="5"/>
    </i>
    <i t="grand">
      <x/>
    </i>
  </rowItems>
  <colItems count="1">
    <i/>
  </colItems>
  <dataFields count="1">
    <dataField name="Sum of Qty" fld="5" baseField="0" baseItem="0"/>
  </dataFields>
  <chartFormats count="2">
    <chartFormat chart="32" format="0" series="1">
      <pivotArea type="data" outline="0" fieldPosition="0">
        <references count="1">
          <reference field="4294967294" count="1" selected="0">
            <x v="0"/>
          </reference>
        </references>
      </pivotArea>
    </chartFormat>
    <chartFormat chart="33"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5">
  <location ref="A3:B10" firstHeaderRow="1" firstDataRow="1" firstDataCol="1"/>
  <pivotFields count="8">
    <pivotField showAll="0"/>
    <pivotField numFmtId="14" showAll="0"/>
    <pivotField showAll="0"/>
    <pivotField showAll="0">
      <items count="3">
        <item x="0"/>
        <item x="1"/>
        <item t="default"/>
      </items>
    </pivotField>
    <pivotField axis="axisRow" showAll="0">
      <items count="7">
        <item x="5"/>
        <item x="2"/>
        <item x="0"/>
        <item x="1"/>
        <item x="3"/>
        <item x="4"/>
        <item t="default"/>
      </items>
    </pivotField>
    <pivotField showAll="0"/>
    <pivotField showAll="0"/>
    <pivotField dataField="1" showAll="0"/>
  </pivotFields>
  <rowFields count="1">
    <field x="4"/>
  </rowFields>
  <rowItems count="7">
    <i>
      <x/>
    </i>
    <i>
      <x v="1"/>
    </i>
    <i>
      <x v="2"/>
    </i>
    <i>
      <x v="3"/>
    </i>
    <i>
      <x v="4"/>
    </i>
    <i>
      <x v="5"/>
    </i>
    <i t="grand">
      <x/>
    </i>
  </rowItems>
  <colItems count="1">
    <i/>
  </colItems>
  <dataFields count="1">
    <dataField name="Sum of Amount" fld="7" baseField="0" baseItem="0"/>
  </dataFields>
  <chartFormats count="1">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5">
  <location ref="A3:B10" firstHeaderRow="1" firstDataRow="1" firstDataCol="1"/>
  <pivotFields count="8">
    <pivotField showAll="0"/>
    <pivotField numFmtId="14" showAll="0"/>
    <pivotField axis="axisRow" showAll="0">
      <items count="7">
        <item x="5"/>
        <item x="1"/>
        <item x="3"/>
        <item x="4"/>
        <item x="2"/>
        <item x="0"/>
        <item t="default"/>
      </items>
    </pivotField>
    <pivotField showAll="0">
      <items count="3">
        <item x="0"/>
        <item x="1"/>
        <item t="default"/>
      </items>
    </pivotField>
    <pivotField showAll="0">
      <items count="7">
        <item x="5"/>
        <item x="2"/>
        <item x="0"/>
        <item x="1"/>
        <item x="3"/>
        <item x="4"/>
        <item t="default"/>
      </items>
    </pivotField>
    <pivotField showAll="0"/>
    <pivotField showAll="0"/>
    <pivotField dataField="1" showAll="0"/>
  </pivotFields>
  <rowFields count="1">
    <field x="2"/>
  </rowFields>
  <rowItems count="7">
    <i>
      <x/>
    </i>
    <i>
      <x v="1"/>
    </i>
    <i>
      <x v="2"/>
    </i>
    <i>
      <x v="3"/>
    </i>
    <i>
      <x v="4"/>
    </i>
    <i>
      <x v="5"/>
    </i>
    <i t="grand">
      <x/>
    </i>
  </rowItems>
  <colItems count="1">
    <i/>
  </colItems>
  <dataFields count="1">
    <dataField name="Sum of Amount"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3">
  <location ref="A3:B6" firstHeaderRow="1" firstDataRow="1" firstDataCol="1"/>
  <pivotFields count="8">
    <pivotField showAll="0"/>
    <pivotField numFmtId="14" showAll="0"/>
    <pivotField showAll="0"/>
    <pivotField axis="axisRow" showAll="0">
      <items count="3">
        <item x="0"/>
        <item x="1"/>
        <item t="default"/>
      </items>
    </pivotField>
    <pivotField showAll="0"/>
    <pivotField showAll="0"/>
    <pivotField showAll="0"/>
    <pivotField dataField="1" showAll="0"/>
  </pivotFields>
  <rowFields count="1">
    <field x="3"/>
  </rowFields>
  <rowItems count="3">
    <i>
      <x/>
    </i>
    <i>
      <x v="1"/>
    </i>
    <i t="grand">
      <x/>
    </i>
  </rowItems>
  <colItems count="1">
    <i/>
  </colItems>
  <dataFields count="1">
    <dataField name="Sum of Amount" fld="7" baseField="0" baseItem="0"/>
  </dataFields>
  <chartFormats count="7">
    <chartFormat chart="9" format="0"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0"/>
          </reference>
        </references>
      </pivotArea>
    </chartFormat>
    <chartFormat chart="11" format="2">
      <pivotArea type="data" outline="0" fieldPosition="0">
        <references count="2">
          <reference field="4294967294" count="1" selected="0">
            <x v="0"/>
          </reference>
          <reference field="3" count="1" selected="0">
            <x v="0"/>
          </reference>
        </references>
      </pivotArea>
    </chartFormat>
    <chartFormat chart="11" format="3">
      <pivotArea type="data" outline="0" fieldPosition="0">
        <references count="2">
          <reference field="4294967294" count="1" selected="0">
            <x v="0"/>
          </reference>
          <reference field="3" count="1" selected="0">
            <x v="1"/>
          </reference>
        </references>
      </pivotArea>
    </chartFormat>
    <chartFormat chart="12" format="4" series="1">
      <pivotArea type="data" outline="0" fieldPosition="0">
        <references count="1">
          <reference field="4294967294" count="1" selected="0">
            <x v="0"/>
          </reference>
        </references>
      </pivotArea>
    </chartFormat>
    <chartFormat chart="12" format="5">
      <pivotArea type="data" outline="0" fieldPosition="0">
        <references count="2">
          <reference field="4294967294" count="1" selected="0">
            <x v="0"/>
          </reference>
          <reference field="3" count="1" selected="0">
            <x v="0"/>
          </reference>
        </references>
      </pivotArea>
    </chartFormat>
    <chartFormat chart="12" format="6">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Item" sourceName="Item">
  <pivotTables>
    <pivotTable tabId="2" name="PivotTable1"/>
    <pivotTable tabId="2" name="PivotTable2"/>
    <pivotTable tabId="2" name="PivotTable3"/>
    <pivotTable tabId="2" name="PivotTable4"/>
    <pivotTable tabId="4" name="PivotTable5"/>
    <pivotTable tabId="6" name="PivotTable1"/>
    <pivotTable tabId="7" name="PivotTable3"/>
  </pivotTables>
  <data>
    <tabular pivotCacheId="787992250">
      <items count="6">
        <i x="5" s="1"/>
        <i x="2" s="1"/>
        <i x="0" s="1"/>
        <i x="1" s="1"/>
        <i x="3"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2" name="PivotTable1"/>
    <pivotTable tabId="2" name="PivotTable2"/>
    <pivotTable tabId="2" name="PivotTable3"/>
    <pivotTable tabId="2" name="PivotTable4"/>
    <pivotTable tabId="4" name="PivotTable5"/>
    <pivotTable tabId="6" name="PivotTable1"/>
    <pivotTable tabId="7" name="PivotTable3"/>
    <pivotTable tabId="8" name="PivotTable4"/>
  </pivotTables>
  <data>
    <tabular pivotCacheId="787992250">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Item" cache="Slicer_Item" caption="Item" columnCount="2" style="SlicerStyleDark3" rowHeight="241300"/>
  <slicer name="Region" cache="Slicer_Region" caption="Region" style="SlicerStyleDark3" rowHeight="241300"/>
</slicers>
</file>

<file path=xl/tables/table1.xml><?xml version="1.0" encoding="utf-8"?>
<table xmlns="http://schemas.openxmlformats.org/spreadsheetml/2006/main" id="1" name="Table1" displayName="Table1" ref="A1:H51" totalsRowShown="0">
  <autoFilter ref="A1:H51"/>
  <tableColumns count="8">
    <tableColumn id="1" name="Sr.No"/>
    <tableColumn id="2" name="Date" dataDxfId="0"/>
    <tableColumn id="3" name="Salesman"/>
    <tableColumn id="4" name="Region"/>
    <tableColumn id="5" name="Item"/>
    <tableColumn id="6" name="Qty"/>
    <tableColumn id="7" name="Price"/>
    <tableColumn id="8" name="Amoun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name="NativeTimeline_Date" sourceName="Date">
  <pivotTables>
    <pivotTable tabId="2" name="PivotTable1"/>
    <pivotTable tabId="2" name="PivotTable2"/>
    <pivotTable tabId="2" name="PivotTable3"/>
    <pivotTable tabId="2" name="PivotTable4"/>
  </pivotTables>
  <state minimalRefreshVersion="6" lastRefreshVersion="6" pivotCacheId="787992250" filterType="unknown">
    <bounds startDate="2022-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mc:Ignorable="x">
  <timeline name="Date" cache="NativeTimeline_Date" caption="Date" level="2" selectionLevel="2" scrollPosition="2022-01-01T00:00:00" style="TimeSlicerStyleDark3"/>
</timelines>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3"/>
  <sheetViews>
    <sheetView workbookViewId="0">
      <selection activeCell="E16" sqref="E16"/>
    </sheetView>
  </sheetViews>
  <sheetFormatPr defaultRowHeight="15" x14ac:dyDescent="0.25"/>
  <cols>
    <col min="1" max="1" width="10.7109375" customWidth="1"/>
    <col min="5" max="5" width="13.140625" customWidth="1"/>
    <col min="6" max="6" width="14.85546875" bestFit="1" customWidth="1"/>
  </cols>
  <sheetData>
    <row r="1" spans="1:6" x14ac:dyDescent="0.25">
      <c r="E1" s="5" t="s">
        <v>24</v>
      </c>
      <c r="F1" t="s">
        <v>23</v>
      </c>
    </row>
    <row r="2" spans="1:6" x14ac:dyDescent="0.25">
      <c r="E2" s="6" t="s">
        <v>20</v>
      </c>
      <c r="F2" s="4">
        <v>93600</v>
      </c>
    </row>
    <row r="3" spans="1:6" x14ac:dyDescent="0.25">
      <c r="A3" t="s">
        <v>22</v>
      </c>
      <c r="E3" s="6" t="s">
        <v>11</v>
      </c>
      <c r="F3" s="4">
        <v>546000</v>
      </c>
    </row>
    <row r="4" spans="1:6" x14ac:dyDescent="0.25">
      <c r="A4" s="4">
        <v>1779</v>
      </c>
      <c r="B4">
        <f>A4</f>
        <v>1779</v>
      </c>
      <c r="E4" s="6" t="s">
        <v>16</v>
      </c>
      <c r="F4" s="4">
        <v>303000</v>
      </c>
    </row>
    <row r="5" spans="1:6" x14ac:dyDescent="0.25">
      <c r="E5" s="6" t="s">
        <v>18</v>
      </c>
      <c r="F5" s="4">
        <v>72250</v>
      </c>
    </row>
    <row r="6" spans="1:6" x14ac:dyDescent="0.25">
      <c r="E6" s="6" t="s">
        <v>14</v>
      </c>
      <c r="F6" s="4">
        <v>770000</v>
      </c>
    </row>
    <row r="7" spans="1:6" x14ac:dyDescent="0.25">
      <c r="E7" s="6" t="s">
        <v>8</v>
      </c>
      <c r="F7" s="4">
        <v>61740</v>
      </c>
    </row>
    <row r="8" spans="1:6" x14ac:dyDescent="0.25">
      <c r="A8" t="s">
        <v>23</v>
      </c>
      <c r="E8" s="6" t="s">
        <v>25</v>
      </c>
      <c r="F8" s="4">
        <v>1846590</v>
      </c>
    </row>
    <row r="9" spans="1:6" x14ac:dyDescent="0.25">
      <c r="A9" s="4">
        <v>1846590</v>
      </c>
      <c r="B9">
        <f>A9</f>
        <v>1846590</v>
      </c>
    </row>
    <row r="12" spans="1:6" x14ac:dyDescent="0.25">
      <c r="A12" t="s">
        <v>22</v>
      </c>
    </row>
    <row r="13" spans="1:6" x14ac:dyDescent="0.25">
      <c r="A13" s="4">
        <v>1779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tabSelected="1" workbookViewId="0">
      <selection activeCell="J40" sqref="J40"/>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51"/>
  <sheetViews>
    <sheetView workbookViewId="0">
      <selection activeCell="K9" sqref="K9"/>
    </sheetView>
  </sheetViews>
  <sheetFormatPr defaultRowHeight="15" x14ac:dyDescent="0.25"/>
  <cols>
    <col min="2" max="2" width="10.42578125" bestFit="1" customWidth="1"/>
    <col min="3" max="3" width="11.5703125" customWidth="1"/>
    <col min="4" max="4" width="9.28515625" customWidth="1"/>
    <col min="8" max="8" width="10.28515625" customWidth="1"/>
  </cols>
  <sheetData>
    <row r="1" spans="1:8" x14ac:dyDescent="0.25">
      <c r="A1" t="s">
        <v>0</v>
      </c>
      <c r="B1" t="s">
        <v>1</v>
      </c>
      <c r="C1" t="s">
        <v>2</v>
      </c>
      <c r="D1" t="s">
        <v>3</v>
      </c>
      <c r="E1" t="s">
        <v>4</v>
      </c>
      <c r="F1" t="s">
        <v>5</v>
      </c>
      <c r="G1" t="s">
        <v>6</v>
      </c>
      <c r="H1" t="s">
        <v>7</v>
      </c>
    </row>
    <row r="2" spans="1:8" x14ac:dyDescent="0.25">
      <c r="A2">
        <v>1</v>
      </c>
      <c r="B2" s="7">
        <v>44562</v>
      </c>
      <c r="C2" t="s">
        <v>8</v>
      </c>
      <c r="D2" t="s">
        <v>9</v>
      </c>
      <c r="E2" t="s">
        <v>10</v>
      </c>
      <c r="F2">
        <v>7</v>
      </c>
      <c r="G2">
        <v>210</v>
      </c>
      <c r="H2">
        <v>1470</v>
      </c>
    </row>
    <row r="3" spans="1:8" x14ac:dyDescent="0.25">
      <c r="A3">
        <v>295</v>
      </c>
      <c r="B3" s="7">
        <v>44856</v>
      </c>
      <c r="C3" t="s">
        <v>8</v>
      </c>
      <c r="D3" t="s">
        <v>9</v>
      </c>
      <c r="E3" t="s">
        <v>10</v>
      </c>
      <c r="F3">
        <v>9</v>
      </c>
      <c r="G3">
        <v>210</v>
      </c>
      <c r="H3">
        <v>1890</v>
      </c>
    </row>
    <row r="4" spans="1:8" x14ac:dyDescent="0.25">
      <c r="A4">
        <v>289</v>
      </c>
      <c r="B4" s="7">
        <v>44850</v>
      </c>
      <c r="C4" t="s">
        <v>8</v>
      </c>
      <c r="D4" t="s">
        <v>9</v>
      </c>
      <c r="E4" t="s">
        <v>10</v>
      </c>
      <c r="F4">
        <v>5</v>
      </c>
      <c r="G4">
        <v>210</v>
      </c>
      <c r="H4">
        <v>1050</v>
      </c>
    </row>
    <row r="5" spans="1:8" x14ac:dyDescent="0.25">
      <c r="A5">
        <v>283</v>
      </c>
      <c r="B5" s="7">
        <v>44844</v>
      </c>
      <c r="C5" t="s">
        <v>8</v>
      </c>
      <c r="D5" t="s">
        <v>9</v>
      </c>
      <c r="E5" t="s">
        <v>10</v>
      </c>
      <c r="F5">
        <v>5</v>
      </c>
      <c r="G5">
        <v>210</v>
      </c>
      <c r="H5">
        <v>1050</v>
      </c>
    </row>
    <row r="6" spans="1:8" x14ac:dyDescent="0.25">
      <c r="A6">
        <v>277</v>
      </c>
      <c r="B6" s="7">
        <v>44838</v>
      </c>
      <c r="C6" t="s">
        <v>8</v>
      </c>
      <c r="D6" t="s">
        <v>9</v>
      </c>
      <c r="E6" t="s">
        <v>10</v>
      </c>
      <c r="F6">
        <v>6</v>
      </c>
      <c r="G6">
        <v>210</v>
      </c>
      <c r="H6">
        <v>1260</v>
      </c>
    </row>
    <row r="7" spans="1:8" x14ac:dyDescent="0.25">
      <c r="A7">
        <v>271</v>
      </c>
      <c r="B7" s="7">
        <v>44832</v>
      </c>
      <c r="C7" t="s">
        <v>8</v>
      </c>
      <c r="D7" t="s">
        <v>9</v>
      </c>
      <c r="E7" t="s">
        <v>10</v>
      </c>
      <c r="F7">
        <v>7</v>
      </c>
      <c r="G7">
        <v>210</v>
      </c>
      <c r="H7">
        <v>1470</v>
      </c>
    </row>
    <row r="8" spans="1:8" x14ac:dyDescent="0.25">
      <c r="A8">
        <v>7</v>
      </c>
      <c r="B8" s="7">
        <v>44568</v>
      </c>
      <c r="C8" t="s">
        <v>8</v>
      </c>
      <c r="D8" t="s">
        <v>9</v>
      </c>
      <c r="E8" t="s">
        <v>10</v>
      </c>
      <c r="F8">
        <v>9</v>
      </c>
      <c r="G8">
        <v>210</v>
      </c>
      <c r="H8">
        <v>1890</v>
      </c>
    </row>
    <row r="9" spans="1:8" x14ac:dyDescent="0.25">
      <c r="A9">
        <v>265</v>
      </c>
      <c r="B9" s="7">
        <v>44826</v>
      </c>
      <c r="C9" t="s">
        <v>8</v>
      </c>
      <c r="D9" t="s">
        <v>9</v>
      </c>
      <c r="E9" t="s">
        <v>10</v>
      </c>
      <c r="F9">
        <v>5</v>
      </c>
      <c r="G9">
        <v>210</v>
      </c>
      <c r="H9">
        <v>1050</v>
      </c>
    </row>
    <row r="10" spans="1:8" x14ac:dyDescent="0.25">
      <c r="A10">
        <v>259</v>
      </c>
      <c r="B10" s="7">
        <v>44820</v>
      </c>
      <c r="C10" t="s">
        <v>8</v>
      </c>
      <c r="D10" t="s">
        <v>9</v>
      </c>
      <c r="E10" t="s">
        <v>10</v>
      </c>
      <c r="F10">
        <v>3</v>
      </c>
      <c r="G10">
        <v>210</v>
      </c>
      <c r="H10">
        <v>630</v>
      </c>
    </row>
    <row r="11" spans="1:8" x14ac:dyDescent="0.25">
      <c r="A11">
        <v>253</v>
      </c>
      <c r="B11" s="7">
        <v>44814</v>
      </c>
      <c r="C11" t="s">
        <v>8</v>
      </c>
      <c r="D11" t="s">
        <v>9</v>
      </c>
      <c r="E11" t="s">
        <v>10</v>
      </c>
      <c r="F11">
        <v>7</v>
      </c>
      <c r="G11">
        <v>210</v>
      </c>
      <c r="H11">
        <v>1470</v>
      </c>
    </row>
    <row r="12" spans="1:8" x14ac:dyDescent="0.25">
      <c r="A12">
        <v>247</v>
      </c>
      <c r="B12" s="7">
        <v>44808</v>
      </c>
      <c r="C12" t="s">
        <v>8</v>
      </c>
      <c r="D12" t="s">
        <v>9</v>
      </c>
      <c r="E12" t="s">
        <v>10</v>
      </c>
      <c r="F12">
        <v>6</v>
      </c>
      <c r="G12">
        <v>210</v>
      </c>
      <c r="H12">
        <v>1260</v>
      </c>
    </row>
    <row r="13" spans="1:8" x14ac:dyDescent="0.25">
      <c r="A13">
        <v>241</v>
      </c>
      <c r="B13" s="7">
        <v>44802</v>
      </c>
      <c r="C13" t="s">
        <v>8</v>
      </c>
      <c r="D13" t="s">
        <v>9</v>
      </c>
      <c r="E13" t="s">
        <v>10</v>
      </c>
      <c r="F13">
        <v>4</v>
      </c>
      <c r="G13">
        <v>210</v>
      </c>
      <c r="H13">
        <v>840</v>
      </c>
    </row>
    <row r="14" spans="1:8" x14ac:dyDescent="0.25">
      <c r="A14">
        <v>13</v>
      </c>
      <c r="B14" s="7">
        <v>44574</v>
      </c>
      <c r="C14" t="s">
        <v>8</v>
      </c>
      <c r="D14" t="s">
        <v>9</v>
      </c>
      <c r="E14" t="s">
        <v>10</v>
      </c>
      <c r="F14">
        <v>4</v>
      </c>
      <c r="G14">
        <v>210</v>
      </c>
      <c r="H14">
        <v>840</v>
      </c>
    </row>
    <row r="15" spans="1:8" x14ac:dyDescent="0.25">
      <c r="A15">
        <v>235</v>
      </c>
      <c r="B15" s="7">
        <v>44796</v>
      </c>
      <c r="C15" t="s">
        <v>8</v>
      </c>
      <c r="D15" t="s">
        <v>9</v>
      </c>
      <c r="E15" t="s">
        <v>10</v>
      </c>
      <c r="F15">
        <v>6</v>
      </c>
      <c r="G15">
        <v>210</v>
      </c>
      <c r="H15">
        <v>1260</v>
      </c>
    </row>
    <row r="16" spans="1:8" x14ac:dyDescent="0.25">
      <c r="A16">
        <v>229</v>
      </c>
      <c r="B16" s="7">
        <v>44790</v>
      </c>
      <c r="C16" t="s">
        <v>8</v>
      </c>
      <c r="D16" t="s">
        <v>9</v>
      </c>
      <c r="E16" t="s">
        <v>10</v>
      </c>
      <c r="F16">
        <v>8</v>
      </c>
      <c r="G16">
        <v>210</v>
      </c>
      <c r="H16">
        <v>1680</v>
      </c>
    </row>
    <row r="17" spans="1:8" x14ac:dyDescent="0.25">
      <c r="A17">
        <v>223</v>
      </c>
      <c r="B17" s="7">
        <v>44784</v>
      </c>
      <c r="C17" t="s">
        <v>8</v>
      </c>
      <c r="D17" t="s">
        <v>9</v>
      </c>
      <c r="E17" t="s">
        <v>10</v>
      </c>
      <c r="F17">
        <v>6</v>
      </c>
      <c r="G17">
        <v>210</v>
      </c>
      <c r="H17">
        <v>1260</v>
      </c>
    </row>
    <row r="18" spans="1:8" x14ac:dyDescent="0.25">
      <c r="A18">
        <v>217</v>
      </c>
      <c r="B18" s="7">
        <v>44778</v>
      </c>
      <c r="C18" t="s">
        <v>8</v>
      </c>
      <c r="D18" t="s">
        <v>9</v>
      </c>
      <c r="E18" t="s">
        <v>10</v>
      </c>
      <c r="F18">
        <v>9</v>
      </c>
      <c r="G18">
        <v>210</v>
      </c>
      <c r="H18">
        <v>1890</v>
      </c>
    </row>
    <row r="19" spans="1:8" x14ac:dyDescent="0.25">
      <c r="A19">
        <v>211</v>
      </c>
      <c r="B19" s="7">
        <v>44772</v>
      </c>
      <c r="C19" t="s">
        <v>8</v>
      </c>
      <c r="D19" t="s">
        <v>9</v>
      </c>
      <c r="E19" t="s">
        <v>10</v>
      </c>
      <c r="F19">
        <v>4</v>
      </c>
      <c r="G19">
        <v>210</v>
      </c>
      <c r="H19">
        <v>840</v>
      </c>
    </row>
    <row r="20" spans="1:8" x14ac:dyDescent="0.25">
      <c r="A20">
        <v>19</v>
      </c>
      <c r="B20" s="7">
        <v>44580</v>
      </c>
      <c r="C20" t="s">
        <v>8</v>
      </c>
      <c r="D20" t="s">
        <v>9</v>
      </c>
      <c r="E20" t="s">
        <v>10</v>
      </c>
      <c r="F20">
        <v>6</v>
      </c>
      <c r="G20">
        <v>210</v>
      </c>
      <c r="H20">
        <v>1260</v>
      </c>
    </row>
    <row r="21" spans="1:8" x14ac:dyDescent="0.25">
      <c r="A21">
        <v>205</v>
      </c>
      <c r="B21" s="7">
        <v>44766</v>
      </c>
      <c r="C21" t="s">
        <v>8</v>
      </c>
      <c r="D21" t="s">
        <v>9</v>
      </c>
      <c r="E21" t="s">
        <v>10</v>
      </c>
      <c r="F21">
        <v>6</v>
      </c>
      <c r="G21">
        <v>210</v>
      </c>
      <c r="H21">
        <v>1260</v>
      </c>
    </row>
    <row r="22" spans="1:8" x14ac:dyDescent="0.25">
      <c r="A22">
        <v>199</v>
      </c>
      <c r="B22" s="7">
        <v>44760</v>
      </c>
      <c r="C22" t="s">
        <v>8</v>
      </c>
      <c r="D22" t="s">
        <v>9</v>
      </c>
      <c r="E22" t="s">
        <v>10</v>
      </c>
      <c r="F22">
        <v>7</v>
      </c>
      <c r="G22">
        <v>210</v>
      </c>
      <c r="H22">
        <v>1470</v>
      </c>
    </row>
    <row r="23" spans="1:8" x14ac:dyDescent="0.25">
      <c r="A23">
        <v>193</v>
      </c>
      <c r="B23" s="7">
        <v>44754</v>
      </c>
      <c r="C23" t="s">
        <v>8</v>
      </c>
      <c r="D23" t="s">
        <v>9</v>
      </c>
      <c r="E23" t="s">
        <v>10</v>
      </c>
      <c r="F23">
        <v>3</v>
      </c>
      <c r="G23">
        <v>210</v>
      </c>
      <c r="H23">
        <v>630</v>
      </c>
    </row>
    <row r="24" spans="1:8" x14ac:dyDescent="0.25">
      <c r="A24">
        <v>187</v>
      </c>
      <c r="B24" s="7">
        <v>44748</v>
      </c>
      <c r="C24" t="s">
        <v>8</v>
      </c>
      <c r="D24" t="s">
        <v>9</v>
      </c>
      <c r="E24" t="s">
        <v>10</v>
      </c>
      <c r="F24">
        <v>7</v>
      </c>
      <c r="G24">
        <v>210</v>
      </c>
      <c r="H24">
        <v>1470</v>
      </c>
    </row>
    <row r="25" spans="1:8" x14ac:dyDescent="0.25">
      <c r="A25">
        <v>181</v>
      </c>
      <c r="B25" s="7">
        <v>44742</v>
      </c>
      <c r="C25" t="s">
        <v>8</v>
      </c>
      <c r="D25" t="s">
        <v>9</v>
      </c>
      <c r="E25" t="s">
        <v>10</v>
      </c>
      <c r="F25">
        <v>4</v>
      </c>
      <c r="G25">
        <v>210</v>
      </c>
      <c r="H25">
        <v>840</v>
      </c>
    </row>
    <row r="26" spans="1:8" x14ac:dyDescent="0.25">
      <c r="A26">
        <v>25</v>
      </c>
      <c r="B26" s="7">
        <v>44586</v>
      </c>
      <c r="C26" t="s">
        <v>8</v>
      </c>
      <c r="D26" t="s">
        <v>9</v>
      </c>
      <c r="E26" t="s">
        <v>10</v>
      </c>
      <c r="F26">
        <v>7</v>
      </c>
      <c r="G26">
        <v>210</v>
      </c>
      <c r="H26">
        <v>1470</v>
      </c>
    </row>
    <row r="27" spans="1:8" x14ac:dyDescent="0.25">
      <c r="A27">
        <v>175</v>
      </c>
      <c r="B27" s="7">
        <v>44736</v>
      </c>
      <c r="C27" t="s">
        <v>8</v>
      </c>
      <c r="D27" t="s">
        <v>9</v>
      </c>
      <c r="E27" t="s">
        <v>10</v>
      </c>
      <c r="F27">
        <v>9</v>
      </c>
      <c r="G27">
        <v>210</v>
      </c>
      <c r="H27">
        <v>1890</v>
      </c>
    </row>
    <row r="28" spans="1:8" x14ac:dyDescent="0.25">
      <c r="A28">
        <v>169</v>
      </c>
      <c r="B28" s="7">
        <v>44730</v>
      </c>
      <c r="C28" t="s">
        <v>8</v>
      </c>
      <c r="D28" t="s">
        <v>9</v>
      </c>
      <c r="E28" t="s">
        <v>10</v>
      </c>
      <c r="F28">
        <v>7</v>
      </c>
      <c r="G28">
        <v>210</v>
      </c>
      <c r="H28">
        <v>1470</v>
      </c>
    </row>
    <row r="29" spans="1:8" x14ac:dyDescent="0.25">
      <c r="A29">
        <v>163</v>
      </c>
      <c r="B29" s="7">
        <v>44724</v>
      </c>
      <c r="C29" t="s">
        <v>8</v>
      </c>
      <c r="D29" t="s">
        <v>9</v>
      </c>
      <c r="E29" t="s">
        <v>10</v>
      </c>
      <c r="F29">
        <v>5</v>
      </c>
      <c r="G29">
        <v>210</v>
      </c>
      <c r="H29">
        <v>1050</v>
      </c>
    </row>
    <row r="30" spans="1:8" x14ac:dyDescent="0.25">
      <c r="A30">
        <v>157</v>
      </c>
      <c r="B30" s="7">
        <v>44718</v>
      </c>
      <c r="C30" t="s">
        <v>8</v>
      </c>
      <c r="D30" t="s">
        <v>9</v>
      </c>
      <c r="E30" t="s">
        <v>10</v>
      </c>
      <c r="F30">
        <v>6</v>
      </c>
      <c r="G30">
        <v>210</v>
      </c>
      <c r="H30">
        <v>1260</v>
      </c>
    </row>
    <row r="31" spans="1:8" x14ac:dyDescent="0.25">
      <c r="A31">
        <v>151</v>
      </c>
      <c r="B31" s="7">
        <v>44712</v>
      </c>
      <c r="C31" t="s">
        <v>8</v>
      </c>
      <c r="D31" t="s">
        <v>9</v>
      </c>
      <c r="E31" t="s">
        <v>10</v>
      </c>
      <c r="F31">
        <v>5</v>
      </c>
      <c r="G31">
        <v>210</v>
      </c>
      <c r="H31">
        <v>1050</v>
      </c>
    </row>
    <row r="32" spans="1:8" x14ac:dyDescent="0.25">
      <c r="A32">
        <v>31</v>
      </c>
      <c r="B32" s="7">
        <v>44592</v>
      </c>
      <c r="C32" t="s">
        <v>8</v>
      </c>
      <c r="D32" t="s">
        <v>9</v>
      </c>
      <c r="E32" t="s">
        <v>10</v>
      </c>
      <c r="F32">
        <v>5</v>
      </c>
      <c r="G32">
        <v>210</v>
      </c>
      <c r="H32">
        <v>1050</v>
      </c>
    </row>
    <row r="33" spans="1:8" x14ac:dyDescent="0.25">
      <c r="A33">
        <v>145</v>
      </c>
      <c r="B33" s="7">
        <v>44706</v>
      </c>
      <c r="C33" t="s">
        <v>8</v>
      </c>
      <c r="D33" t="s">
        <v>9</v>
      </c>
      <c r="E33" t="s">
        <v>10</v>
      </c>
      <c r="F33">
        <v>9</v>
      </c>
      <c r="G33">
        <v>210</v>
      </c>
      <c r="H33">
        <v>1890</v>
      </c>
    </row>
    <row r="34" spans="1:8" x14ac:dyDescent="0.25">
      <c r="A34">
        <v>139</v>
      </c>
      <c r="B34" s="7">
        <v>44700</v>
      </c>
      <c r="C34" t="s">
        <v>8</v>
      </c>
      <c r="D34" t="s">
        <v>9</v>
      </c>
      <c r="E34" t="s">
        <v>10</v>
      </c>
      <c r="F34">
        <v>3</v>
      </c>
      <c r="G34">
        <v>210</v>
      </c>
      <c r="H34">
        <v>630</v>
      </c>
    </row>
    <row r="35" spans="1:8" x14ac:dyDescent="0.25">
      <c r="A35">
        <v>133</v>
      </c>
      <c r="B35" s="7">
        <v>44694</v>
      </c>
      <c r="C35" t="s">
        <v>8</v>
      </c>
      <c r="D35" t="s">
        <v>9</v>
      </c>
      <c r="E35" t="s">
        <v>10</v>
      </c>
      <c r="F35">
        <v>4</v>
      </c>
      <c r="G35">
        <v>210</v>
      </c>
      <c r="H35">
        <v>840</v>
      </c>
    </row>
    <row r="36" spans="1:8" x14ac:dyDescent="0.25">
      <c r="A36">
        <v>127</v>
      </c>
      <c r="B36" s="7">
        <v>44688</v>
      </c>
      <c r="C36" t="s">
        <v>8</v>
      </c>
      <c r="D36" t="s">
        <v>9</v>
      </c>
      <c r="E36" t="s">
        <v>10</v>
      </c>
      <c r="F36">
        <v>5</v>
      </c>
      <c r="G36">
        <v>210</v>
      </c>
      <c r="H36">
        <v>1050</v>
      </c>
    </row>
    <row r="37" spans="1:8" x14ac:dyDescent="0.25">
      <c r="A37">
        <v>121</v>
      </c>
      <c r="B37" s="7">
        <v>44682</v>
      </c>
      <c r="C37" t="s">
        <v>8</v>
      </c>
      <c r="D37" t="s">
        <v>9</v>
      </c>
      <c r="E37" t="s">
        <v>10</v>
      </c>
      <c r="F37">
        <v>3</v>
      </c>
      <c r="G37">
        <v>210</v>
      </c>
      <c r="H37">
        <v>630</v>
      </c>
    </row>
    <row r="38" spans="1:8" x14ac:dyDescent="0.25">
      <c r="A38">
        <v>37</v>
      </c>
      <c r="B38" s="7">
        <v>44598</v>
      </c>
      <c r="C38" t="s">
        <v>8</v>
      </c>
      <c r="D38" t="s">
        <v>9</v>
      </c>
      <c r="E38" t="s">
        <v>10</v>
      </c>
      <c r="F38">
        <v>7</v>
      </c>
      <c r="G38">
        <v>210</v>
      </c>
      <c r="H38">
        <v>1470</v>
      </c>
    </row>
    <row r="39" spans="1:8" x14ac:dyDescent="0.25">
      <c r="A39">
        <v>115</v>
      </c>
      <c r="B39" s="7">
        <v>44676</v>
      </c>
      <c r="C39" t="s">
        <v>8</v>
      </c>
      <c r="D39" t="s">
        <v>9</v>
      </c>
      <c r="E39" t="s">
        <v>10</v>
      </c>
      <c r="F39">
        <v>3</v>
      </c>
      <c r="G39">
        <v>210</v>
      </c>
      <c r="H39">
        <v>630</v>
      </c>
    </row>
    <row r="40" spans="1:8" x14ac:dyDescent="0.25">
      <c r="A40">
        <v>109</v>
      </c>
      <c r="B40" s="7">
        <v>44670</v>
      </c>
      <c r="C40" t="s">
        <v>8</v>
      </c>
      <c r="D40" t="s">
        <v>9</v>
      </c>
      <c r="E40" t="s">
        <v>10</v>
      </c>
      <c r="F40">
        <v>4</v>
      </c>
      <c r="G40">
        <v>210</v>
      </c>
      <c r="H40">
        <v>840</v>
      </c>
    </row>
    <row r="41" spans="1:8" x14ac:dyDescent="0.25">
      <c r="A41">
        <v>103</v>
      </c>
      <c r="B41" s="7">
        <v>44664</v>
      </c>
      <c r="C41" t="s">
        <v>8</v>
      </c>
      <c r="D41" t="s">
        <v>9</v>
      </c>
      <c r="E41" t="s">
        <v>10</v>
      </c>
      <c r="F41">
        <v>3</v>
      </c>
      <c r="G41">
        <v>210</v>
      </c>
      <c r="H41">
        <v>630</v>
      </c>
    </row>
    <row r="42" spans="1:8" x14ac:dyDescent="0.25">
      <c r="A42">
        <v>97</v>
      </c>
      <c r="B42" s="7">
        <v>44658</v>
      </c>
      <c r="C42" t="s">
        <v>8</v>
      </c>
      <c r="D42" t="s">
        <v>9</v>
      </c>
      <c r="E42" t="s">
        <v>10</v>
      </c>
      <c r="F42">
        <v>5</v>
      </c>
      <c r="G42">
        <v>210</v>
      </c>
      <c r="H42">
        <v>1050</v>
      </c>
    </row>
    <row r="43" spans="1:8" x14ac:dyDescent="0.25">
      <c r="A43">
        <v>91</v>
      </c>
      <c r="B43" s="7">
        <v>44652</v>
      </c>
      <c r="C43" t="s">
        <v>8</v>
      </c>
      <c r="D43" t="s">
        <v>9</v>
      </c>
      <c r="E43" t="s">
        <v>10</v>
      </c>
      <c r="F43">
        <v>7</v>
      </c>
      <c r="G43">
        <v>210</v>
      </c>
      <c r="H43">
        <v>1470</v>
      </c>
    </row>
    <row r="44" spans="1:8" x14ac:dyDescent="0.25">
      <c r="A44">
        <v>43</v>
      </c>
      <c r="B44" s="7">
        <v>44604</v>
      </c>
      <c r="C44" t="s">
        <v>8</v>
      </c>
      <c r="D44" t="s">
        <v>9</v>
      </c>
      <c r="E44" t="s">
        <v>10</v>
      </c>
      <c r="F44">
        <v>9</v>
      </c>
      <c r="G44">
        <v>210</v>
      </c>
      <c r="H44">
        <v>1890</v>
      </c>
    </row>
    <row r="45" spans="1:8" x14ac:dyDescent="0.25">
      <c r="A45">
        <v>85</v>
      </c>
      <c r="B45" s="7">
        <v>44646</v>
      </c>
      <c r="C45" t="s">
        <v>8</v>
      </c>
      <c r="D45" t="s">
        <v>9</v>
      </c>
      <c r="E45" t="s">
        <v>10</v>
      </c>
      <c r="F45">
        <v>5</v>
      </c>
      <c r="G45">
        <v>210</v>
      </c>
      <c r="H45">
        <v>1050</v>
      </c>
    </row>
    <row r="46" spans="1:8" x14ac:dyDescent="0.25">
      <c r="A46">
        <v>79</v>
      </c>
      <c r="B46" s="7">
        <v>44640</v>
      </c>
      <c r="C46" t="s">
        <v>8</v>
      </c>
      <c r="D46" t="s">
        <v>9</v>
      </c>
      <c r="E46" t="s">
        <v>10</v>
      </c>
      <c r="F46">
        <v>4</v>
      </c>
      <c r="G46">
        <v>210</v>
      </c>
      <c r="H46">
        <v>840</v>
      </c>
    </row>
    <row r="47" spans="1:8" x14ac:dyDescent="0.25">
      <c r="A47">
        <v>73</v>
      </c>
      <c r="B47" s="7">
        <v>44634</v>
      </c>
      <c r="C47" t="s">
        <v>8</v>
      </c>
      <c r="D47" t="s">
        <v>9</v>
      </c>
      <c r="E47" t="s">
        <v>10</v>
      </c>
      <c r="F47">
        <v>9</v>
      </c>
      <c r="G47">
        <v>210</v>
      </c>
      <c r="H47">
        <v>1890</v>
      </c>
    </row>
    <row r="48" spans="1:8" x14ac:dyDescent="0.25">
      <c r="A48">
        <v>67</v>
      </c>
      <c r="B48" s="7">
        <v>44628</v>
      </c>
      <c r="C48" t="s">
        <v>8</v>
      </c>
      <c r="D48" t="s">
        <v>9</v>
      </c>
      <c r="E48" t="s">
        <v>10</v>
      </c>
      <c r="F48">
        <v>4</v>
      </c>
      <c r="G48">
        <v>210</v>
      </c>
      <c r="H48">
        <v>840</v>
      </c>
    </row>
    <row r="49" spans="1:8" x14ac:dyDescent="0.25">
      <c r="A49">
        <v>61</v>
      </c>
      <c r="B49" s="7">
        <v>44622</v>
      </c>
      <c r="C49" t="s">
        <v>8</v>
      </c>
      <c r="D49" t="s">
        <v>9</v>
      </c>
      <c r="E49" t="s">
        <v>10</v>
      </c>
      <c r="F49">
        <v>9</v>
      </c>
      <c r="G49">
        <v>210</v>
      </c>
      <c r="H49">
        <v>1890</v>
      </c>
    </row>
    <row r="50" spans="1:8" x14ac:dyDescent="0.25">
      <c r="A50">
        <v>49</v>
      </c>
      <c r="B50" s="7">
        <v>44610</v>
      </c>
      <c r="C50" t="s">
        <v>8</v>
      </c>
      <c r="D50" t="s">
        <v>9</v>
      </c>
      <c r="E50" t="s">
        <v>10</v>
      </c>
      <c r="F50">
        <v>7</v>
      </c>
      <c r="G50">
        <v>210</v>
      </c>
      <c r="H50">
        <v>1470</v>
      </c>
    </row>
    <row r="51" spans="1:8" x14ac:dyDescent="0.25">
      <c r="A51">
        <v>55</v>
      </c>
      <c r="B51" s="7">
        <v>44616</v>
      </c>
      <c r="C51" t="s">
        <v>8</v>
      </c>
      <c r="D51" t="s">
        <v>9</v>
      </c>
      <c r="E51" t="s">
        <v>10</v>
      </c>
      <c r="F51">
        <v>7</v>
      </c>
      <c r="G51">
        <v>210</v>
      </c>
      <c r="H51">
        <v>1470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0"/>
  <sheetViews>
    <sheetView workbookViewId="0">
      <selection activeCell="B5" sqref="B5"/>
    </sheetView>
  </sheetViews>
  <sheetFormatPr defaultRowHeight="15" x14ac:dyDescent="0.25"/>
  <cols>
    <col min="1" max="1" width="13.140625" customWidth="1"/>
    <col min="2" max="2" width="10.7109375" customWidth="1"/>
  </cols>
  <sheetData>
    <row r="3" spans="1:2" x14ac:dyDescent="0.25">
      <c r="A3" s="5" t="s">
        <v>24</v>
      </c>
      <c r="B3" t="s">
        <v>22</v>
      </c>
    </row>
    <row r="4" spans="1:2" x14ac:dyDescent="0.25">
      <c r="A4" s="6" t="s">
        <v>21</v>
      </c>
      <c r="B4" s="4">
        <v>312</v>
      </c>
    </row>
    <row r="5" spans="1:2" x14ac:dyDescent="0.25">
      <c r="A5" s="6" t="s">
        <v>15</v>
      </c>
      <c r="B5" s="4">
        <v>308</v>
      </c>
    </row>
    <row r="6" spans="1:2" x14ac:dyDescent="0.25">
      <c r="A6" s="6" t="s">
        <v>10</v>
      </c>
      <c r="B6" s="4">
        <v>294</v>
      </c>
    </row>
    <row r="7" spans="1:2" x14ac:dyDescent="0.25">
      <c r="A7" s="6" t="s">
        <v>13</v>
      </c>
      <c r="B7" s="4">
        <v>273</v>
      </c>
    </row>
    <row r="8" spans="1:2" x14ac:dyDescent="0.25">
      <c r="A8" s="6" t="s">
        <v>17</v>
      </c>
      <c r="B8" s="4">
        <v>303</v>
      </c>
    </row>
    <row r="9" spans="1:2" x14ac:dyDescent="0.25">
      <c r="A9" s="6" t="s">
        <v>19</v>
      </c>
      <c r="B9" s="4">
        <v>289</v>
      </c>
    </row>
    <row r="10" spans="1:2" x14ac:dyDescent="0.25">
      <c r="A10" s="6" t="s">
        <v>25</v>
      </c>
      <c r="B10" s="4">
        <v>1779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F18"/>
  <sheetViews>
    <sheetView topLeftCell="A7" workbookViewId="0">
      <selection activeCell="B28" sqref="B28:B32"/>
    </sheetView>
  </sheetViews>
  <sheetFormatPr defaultRowHeight="15" x14ac:dyDescent="0.25"/>
  <cols>
    <col min="1" max="1" width="13.140625" bestFit="1" customWidth="1"/>
    <col min="2" max="2" width="14.85546875" bestFit="1" customWidth="1"/>
  </cols>
  <sheetData>
    <row r="3" spans="1:6" x14ac:dyDescent="0.25">
      <c r="A3" s="5" t="s">
        <v>24</v>
      </c>
      <c r="B3" t="s">
        <v>23</v>
      </c>
    </row>
    <row r="4" spans="1:6" x14ac:dyDescent="0.25">
      <c r="A4" s="6" t="s">
        <v>21</v>
      </c>
      <c r="B4" s="4">
        <v>93600</v>
      </c>
    </row>
    <row r="5" spans="1:6" x14ac:dyDescent="0.25">
      <c r="A5" s="6" t="s">
        <v>15</v>
      </c>
      <c r="B5" s="4">
        <v>770000</v>
      </c>
    </row>
    <row r="6" spans="1:6" x14ac:dyDescent="0.25">
      <c r="A6" s="6" t="s">
        <v>10</v>
      </c>
      <c r="B6" s="4">
        <v>61740</v>
      </c>
    </row>
    <row r="7" spans="1:6" x14ac:dyDescent="0.25">
      <c r="A7" s="6" t="s">
        <v>13</v>
      </c>
      <c r="B7" s="4">
        <v>546000</v>
      </c>
    </row>
    <row r="8" spans="1:6" x14ac:dyDescent="0.25">
      <c r="A8" s="6" t="s">
        <v>17</v>
      </c>
      <c r="B8" s="4">
        <v>303000</v>
      </c>
    </row>
    <row r="9" spans="1:6" x14ac:dyDescent="0.25">
      <c r="A9" s="6" t="s">
        <v>19</v>
      </c>
      <c r="B9" s="4">
        <v>72250</v>
      </c>
    </row>
    <row r="10" spans="1:6" x14ac:dyDescent="0.25">
      <c r="A10" s="6" t="s">
        <v>25</v>
      </c>
      <c r="B10" s="4">
        <v>1846590</v>
      </c>
    </row>
    <row r="12" spans="1:6" x14ac:dyDescent="0.25">
      <c r="E12" s="6"/>
      <c r="F12" s="4"/>
    </row>
    <row r="13" spans="1:6" x14ac:dyDescent="0.25">
      <c r="E13" s="6"/>
      <c r="F13" s="4"/>
    </row>
    <row r="14" spans="1:6" x14ac:dyDescent="0.25">
      <c r="E14" s="6"/>
      <c r="F14" s="4"/>
    </row>
    <row r="15" spans="1:6" x14ac:dyDescent="0.25">
      <c r="E15" s="6"/>
      <c r="F15" s="4"/>
    </row>
    <row r="16" spans="1:6" x14ac:dyDescent="0.25">
      <c r="E16" s="6"/>
      <c r="F16" s="4"/>
    </row>
    <row r="17" spans="5:6" x14ac:dyDescent="0.25">
      <c r="E17" s="6"/>
      <c r="F17" s="4"/>
    </row>
    <row r="18" spans="5:6" x14ac:dyDescent="0.25">
      <c r="E18" s="6"/>
      <c r="F18" s="4"/>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0"/>
  <sheetViews>
    <sheetView workbookViewId="0">
      <selection activeCell="I24" sqref="I24"/>
    </sheetView>
  </sheetViews>
  <sheetFormatPr defaultRowHeight="15" x14ac:dyDescent="0.25"/>
  <cols>
    <col min="1" max="1" width="13.140625" bestFit="1" customWidth="1"/>
    <col min="2" max="2" width="14.85546875" bestFit="1" customWidth="1"/>
  </cols>
  <sheetData>
    <row r="3" spans="1:2" x14ac:dyDescent="0.25">
      <c r="A3" s="5" t="s">
        <v>24</v>
      </c>
      <c r="B3" t="s">
        <v>23</v>
      </c>
    </row>
    <row r="4" spans="1:2" x14ac:dyDescent="0.25">
      <c r="A4" s="6" t="s">
        <v>20</v>
      </c>
      <c r="B4" s="4">
        <v>93600</v>
      </c>
    </row>
    <row r="5" spans="1:2" x14ac:dyDescent="0.25">
      <c r="A5" s="6" t="s">
        <v>11</v>
      </c>
      <c r="B5" s="4">
        <v>546000</v>
      </c>
    </row>
    <row r="6" spans="1:2" x14ac:dyDescent="0.25">
      <c r="A6" s="6" t="s">
        <v>16</v>
      </c>
      <c r="B6" s="4">
        <v>303000</v>
      </c>
    </row>
    <row r="7" spans="1:2" x14ac:dyDescent="0.25">
      <c r="A7" s="6" t="s">
        <v>18</v>
      </c>
      <c r="B7" s="4">
        <v>72250</v>
      </c>
    </row>
    <row r="8" spans="1:2" x14ac:dyDescent="0.25">
      <c r="A8" s="6" t="s">
        <v>14</v>
      </c>
      <c r="B8" s="4">
        <v>770000</v>
      </c>
    </row>
    <row r="9" spans="1:2" x14ac:dyDescent="0.25">
      <c r="A9" s="6" t="s">
        <v>8</v>
      </c>
      <c r="B9" s="4">
        <v>61740</v>
      </c>
    </row>
    <row r="10" spans="1:2" x14ac:dyDescent="0.25">
      <c r="A10" s="6" t="s">
        <v>25</v>
      </c>
      <c r="B10" s="4">
        <v>1846590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6"/>
  <sheetViews>
    <sheetView workbookViewId="0">
      <selection activeCell="K26" sqref="K26"/>
    </sheetView>
  </sheetViews>
  <sheetFormatPr defaultRowHeight="15" x14ac:dyDescent="0.25"/>
  <cols>
    <col min="1" max="1" width="13.140625" bestFit="1" customWidth="1"/>
    <col min="2" max="2" width="14.85546875" bestFit="1" customWidth="1"/>
  </cols>
  <sheetData>
    <row r="3" spans="1:2" x14ac:dyDescent="0.25">
      <c r="A3" s="5" t="s">
        <v>24</v>
      </c>
      <c r="B3" t="s">
        <v>23</v>
      </c>
    </row>
    <row r="4" spans="1:2" x14ac:dyDescent="0.25">
      <c r="A4" s="6" t="s">
        <v>9</v>
      </c>
      <c r="B4" s="4">
        <v>997590</v>
      </c>
    </row>
    <row r="5" spans="1:2" x14ac:dyDescent="0.25">
      <c r="A5" s="6" t="s">
        <v>12</v>
      </c>
      <c r="B5" s="4">
        <v>849000</v>
      </c>
    </row>
    <row r="6" spans="1:2" x14ac:dyDescent="0.25">
      <c r="A6" s="6" t="s">
        <v>25</v>
      </c>
      <c r="B6" s="4">
        <v>1846590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01"/>
  <sheetViews>
    <sheetView workbookViewId="0">
      <selection sqref="A1:H301"/>
    </sheetView>
  </sheetViews>
  <sheetFormatPr defaultRowHeight="15" x14ac:dyDescent="0.25"/>
  <cols>
    <col min="2" max="2" width="10.85546875" customWidth="1"/>
  </cols>
  <sheetData>
    <row r="1" spans="1:8" x14ac:dyDescent="0.25">
      <c r="A1" s="1" t="s">
        <v>0</v>
      </c>
      <c r="B1" s="1" t="s">
        <v>1</v>
      </c>
      <c r="C1" s="1" t="s">
        <v>2</v>
      </c>
      <c r="D1" s="1" t="s">
        <v>3</v>
      </c>
      <c r="E1" s="1" t="s">
        <v>4</v>
      </c>
      <c r="F1" s="1" t="s">
        <v>5</v>
      </c>
      <c r="G1" s="1" t="s">
        <v>6</v>
      </c>
      <c r="H1" s="1" t="s">
        <v>7</v>
      </c>
    </row>
    <row r="2" spans="1:8" x14ac:dyDescent="0.25">
      <c r="A2" s="2">
        <v>1</v>
      </c>
      <c r="B2" s="3">
        <v>44562</v>
      </c>
      <c r="C2" s="2" t="s">
        <v>8</v>
      </c>
      <c r="D2" s="2" t="s">
        <v>9</v>
      </c>
      <c r="E2" s="2" t="s">
        <v>10</v>
      </c>
      <c r="F2" s="2">
        <v>7</v>
      </c>
      <c r="G2" s="2">
        <v>210</v>
      </c>
      <c r="H2" s="2">
        <f>G2*F2</f>
        <v>1470</v>
      </c>
    </row>
    <row r="3" spans="1:8" x14ac:dyDescent="0.25">
      <c r="A3" s="2">
        <v>2</v>
      </c>
      <c r="B3" s="3">
        <v>44563</v>
      </c>
      <c r="C3" s="2" t="s">
        <v>11</v>
      </c>
      <c r="D3" s="2" t="s">
        <v>12</v>
      </c>
      <c r="E3" s="2" t="s">
        <v>13</v>
      </c>
      <c r="F3" s="2">
        <v>4</v>
      </c>
      <c r="G3" s="2">
        <v>2000</v>
      </c>
      <c r="H3" s="2">
        <f t="shared" ref="H3:H66" si="0">G3*F3</f>
        <v>8000</v>
      </c>
    </row>
    <row r="4" spans="1:8" x14ac:dyDescent="0.25">
      <c r="A4" s="2">
        <v>3</v>
      </c>
      <c r="B4" s="3">
        <v>44564</v>
      </c>
      <c r="C4" s="2" t="s">
        <v>14</v>
      </c>
      <c r="D4" s="2" t="s">
        <v>9</v>
      </c>
      <c r="E4" s="2" t="s">
        <v>15</v>
      </c>
      <c r="F4" s="2">
        <v>6</v>
      </c>
      <c r="G4" s="2">
        <v>2500</v>
      </c>
      <c r="H4" s="2">
        <f t="shared" si="0"/>
        <v>15000</v>
      </c>
    </row>
    <row r="5" spans="1:8" x14ac:dyDescent="0.25">
      <c r="A5" s="2">
        <v>4</v>
      </c>
      <c r="B5" s="3">
        <v>44565</v>
      </c>
      <c r="C5" s="2" t="s">
        <v>16</v>
      </c>
      <c r="D5" s="2" t="s">
        <v>12</v>
      </c>
      <c r="E5" s="2" t="s">
        <v>17</v>
      </c>
      <c r="F5" s="2">
        <v>6</v>
      </c>
      <c r="G5" s="2">
        <v>1000</v>
      </c>
      <c r="H5" s="2">
        <f t="shared" si="0"/>
        <v>6000</v>
      </c>
    </row>
    <row r="6" spans="1:8" x14ac:dyDescent="0.25">
      <c r="A6" s="2">
        <v>5</v>
      </c>
      <c r="B6" s="3">
        <v>44566</v>
      </c>
      <c r="C6" s="2" t="s">
        <v>18</v>
      </c>
      <c r="D6" s="2" t="s">
        <v>9</v>
      </c>
      <c r="E6" s="2" t="s">
        <v>19</v>
      </c>
      <c r="F6" s="2">
        <v>4</v>
      </c>
      <c r="G6" s="2">
        <v>250</v>
      </c>
      <c r="H6" s="2">
        <f t="shared" si="0"/>
        <v>1000</v>
      </c>
    </row>
    <row r="7" spans="1:8" x14ac:dyDescent="0.25">
      <c r="A7" s="2">
        <v>6</v>
      </c>
      <c r="B7" s="3">
        <v>44567</v>
      </c>
      <c r="C7" s="2" t="s">
        <v>20</v>
      </c>
      <c r="D7" s="2" t="s">
        <v>9</v>
      </c>
      <c r="E7" s="2" t="s">
        <v>21</v>
      </c>
      <c r="F7" s="2">
        <v>3</v>
      </c>
      <c r="G7" s="2">
        <v>300</v>
      </c>
      <c r="H7" s="2">
        <f t="shared" si="0"/>
        <v>900</v>
      </c>
    </row>
    <row r="8" spans="1:8" x14ac:dyDescent="0.25">
      <c r="A8" s="2">
        <v>7</v>
      </c>
      <c r="B8" s="3">
        <v>44568</v>
      </c>
      <c r="C8" s="2" t="s">
        <v>8</v>
      </c>
      <c r="D8" s="2" t="s">
        <v>9</v>
      </c>
      <c r="E8" s="2" t="s">
        <v>10</v>
      </c>
      <c r="F8" s="2">
        <v>9</v>
      </c>
      <c r="G8" s="2">
        <v>210</v>
      </c>
      <c r="H8" s="2">
        <f t="shared" si="0"/>
        <v>1890</v>
      </c>
    </row>
    <row r="9" spans="1:8" x14ac:dyDescent="0.25">
      <c r="A9" s="2">
        <v>8</v>
      </c>
      <c r="B9" s="3">
        <v>44569</v>
      </c>
      <c r="C9" s="2" t="s">
        <v>11</v>
      </c>
      <c r="D9" s="2" t="s">
        <v>12</v>
      </c>
      <c r="E9" s="2" t="s">
        <v>13</v>
      </c>
      <c r="F9" s="2">
        <v>6</v>
      </c>
      <c r="G9" s="2">
        <v>2000</v>
      </c>
      <c r="H9" s="2">
        <f t="shared" si="0"/>
        <v>12000</v>
      </c>
    </row>
    <row r="10" spans="1:8" x14ac:dyDescent="0.25">
      <c r="A10" s="2">
        <v>9</v>
      </c>
      <c r="B10" s="3">
        <v>44570</v>
      </c>
      <c r="C10" s="2" t="s">
        <v>14</v>
      </c>
      <c r="D10" s="2" t="s">
        <v>9</v>
      </c>
      <c r="E10" s="2" t="s">
        <v>15</v>
      </c>
      <c r="F10" s="2">
        <v>4</v>
      </c>
      <c r="G10" s="2">
        <v>2500</v>
      </c>
      <c r="H10" s="2">
        <f t="shared" si="0"/>
        <v>10000</v>
      </c>
    </row>
    <row r="11" spans="1:8" x14ac:dyDescent="0.25">
      <c r="A11" s="2">
        <v>10</v>
      </c>
      <c r="B11" s="3">
        <v>44571</v>
      </c>
      <c r="C11" s="2" t="s">
        <v>16</v>
      </c>
      <c r="D11" s="2" t="s">
        <v>12</v>
      </c>
      <c r="E11" s="2" t="s">
        <v>17</v>
      </c>
      <c r="F11" s="2">
        <v>4</v>
      </c>
      <c r="G11" s="2">
        <v>1000</v>
      </c>
      <c r="H11" s="2">
        <f t="shared" si="0"/>
        <v>4000</v>
      </c>
    </row>
    <row r="12" spans="1:8" x14ac:dyDescent="0.25">
      <c r="A12" s="2">
        <v>11</v>
      </c>
      <c r="B12" s="3">
        <v>44572</v>
      </c>
      <c r="C12" s="2" t="s">
        <v>18</v>
      </c>
      <c r="D12" s="2" t="s">
        <v>9</v>
      </c>
      <c r="E12" s="2" t="s">
        <v>19</v>
      </c>
      <c r="F12" s="2">
        <v>3</v>
      </c>
      <c r="G12" s="2">
        <v>250</v>
      </c>
      <c r="H12" s="2">
        <f t="shared" si="0"/>
        <v>750</v>
      </c>
    </row>
    <row r="13" spans="1:8" x14ac:dyDescent="0.25">
      <c r="A13" s="2">
        <v>12</v>
      </c>
      <c r="B13" s="3">
        <v>44573</v>
      </c>
      <c r="C13" s="2" t="s">
        <v>20</v>
      </c>
      <c r="D13" s="2" t="s">
        <v>9</v>
      </c>
      <c r="E13" s="2" t="s">
        <v>21</v>
      </c>
      <c r="F13" s="2">
        <v>7</v>
      </c>
      <c r="G13" s="2">
        <v>300</v>
      </c>
      <c r="H13" s="2">
        <f t="shared" si="0"/>
        <v>2100</v>
      </c>
    </row>
    <row r="14" spans="1:8" x14ac:dyDescent="0.25">
      <c r="A14" s="2">
        <v>13</v>
      </c>
      <c r="B14" s="3">
        <v>44574</v>
      </c>
      <c r="C14" s="2" t="s">
        <v>8</v>
      </c>
      <c r="D14" s="2" t="s">
        <v>9</v>
      </c>
      <c r="E14" s="2" t="s">
        <v>10</v>
      </c>
      <c r="F14" s="2">
        <v>4</v>
      </c>
      <c r="G14" s="2">
        <v>210</v>
      </c>
      <c r="H14" s="2">
        <f t="shared" si="0"/>
        <v>840</v>
      </c>
    </row>
    <row r="15" spans="1:8" x14ac:dyDescent="0.25">
      <c r="A15" s="2">
        <v>14</v>
      </c>
      <c r="B15" s="3">
        <v>44575</v>
      </c>
      <c r="C15" s="2" t="s">
        <v>11</v>
      </c>
      <c r="D15" s="2" t="s">
        <v>12</v>
      </c>
      <c r="E15" s="2" t="s">
        <v>13</v>
      </c>
      <c r="F15" s="2">
        <v>5</v>
      </c>
      <c r="G15" s="2">
        <v>2000</v>
      </c>
      <c r="H15" s="2">
        <f t="shared" si="0"/>
        <v>10000</v>
      </c>
    </row>
    <row r="16" spans="1:8" x14ac:dyDescent="0.25">
      <c r="A16" s="2">
        <v>15</v>
      </c>
      <c r="B16" s="3">
        <v>44576</v>
      </c>
      <c r="C16" s="2" t="s">
        <v>14</v>
      </c>
      <c r="D16" s="2" t="s">
        <v>9</v>
      </c>
      <c r="E16" s="2" t="s">
        <v>15</v>
      </c>
      <c r="F16" s="2">
        <v>3</v>
      </c>
      <c r="G16" s="2">
        <v>2500</v>
      </c>
      <c r="H16" s="2">
        <f t="shared" si="0"/>
        <v>7500</v>
      </c>
    </row>
    <row r="17" spans="1:8" x14ac:dyDescent="0.25">
      <c r="A17" s="2">
        <v>16</v>
      </c>
      <c r="B17" s="3">
        <v>44577</v>
      </c>
      <c r="C17" s="2" t="s">
        <v>16</v>
      </c>
      <c r="D17" s="2" t="s">
        <v>12</v>
      </c>
      <c r="E17" s="2" t="s">
        <v>17</v>
      </c>
      <c r="F17" s="2">
        <v>3</v>
      </c>
      <c r="G17" s="2">
        <v>1000</v>
      </c>
      <c r="H17" s="2">
        <f t="shared" si="0"/>
        <v>3000</v>
      </c>
    </row>
    <row r="18" spans="1:8" x14ac:dyDescent="0.25">
      <c r="A18" s="2">
        <v>17</v>
      </c>
      <c r="B18" s="3">
        <v>44578</v>
      </c>
      <c r="C18" s="2" t="s">
        <v>18</v>
      </c>
      <c r="D18" s="2" t="s">
        <v>9</v>
      </c>
      <c r="E18" s="2" t="s">
        <v>19</v>
      </c>
      <c r="F18" s="2">
        <v>3</v>
      </c>
      <c r="G18" s="2">
        <v>250</v>
      </c>
      <c r="H18" s="2">
        <f t="shared" si="0"/>
        <v>750</v>
      </c>
    </row>
    <row r="19" spans="1:8" x14ac:dyDescent="0.25">
      <c r="A19" s="2">
        <v>18</v>
      </c>
      <c r="B19" s="3">
        <v>44579</v>
      </c>
      <c r="C19" s="2" t="s">
        <v>20</v>
      </c>
      <c r="D19" s="2" t="s">
        <v>9</v>
      </c>
      <c r="E19" s="2" t="s">
        <v>21</v>
      </c>
      <c r="F19" s="2">
        <v>4</v>
      </c>
      <c r="G19" s="2">
        <v>300</v>
      </c>
      <c r="H19" s="2">
        <f t="shared" si="0"/>
        <v>1200</v>
      </c>
    </row>
    <row r="20" spans="1:8" x14ac:dyDescent="0.25">
      <c r="A20" s="2">
        <v>19</v>
      </c>
      <c r="B20" s="3">
        <v>44580</v>
      </c>
      <c r="C20" s="2" t="s">
        <v>8</v>
      </c>
      <c r="D20" s="2" t="s">
        <v>9</v>
      </c>
      <c r="E20" s="2" t="s">
        <v>10</v>
      </c>
      <c r="F20" s="2">
        <v>6</v>
      </c>
      <c r="G20" s="2">
        <v>210</v>
      </c>
      <c r="H20" s="2">
        <f t="shared" si="0"/>
        <v>1260</v>
      </c>
    </row>
    <row r="21" spans="1:8" x14ac:dyDescent="0.25">
      <c r="A21" s="2">
        <v>20</v>
      </c>
      <c r="B21" s="3">
        <v>44581</v>
      </c>
      <c r="C21" s="2" t="s">
        <v>11</v>
      </c>
      <c r="D21" s="2" t="s">
        <v>12</v>
      </c>
      <c r="E21" s="2" t="s">
        <v>13</v>
      </c>
      <c r="F21" s="2">
        <v>7</v>
      </c>
      <c r="G21" s="2">
        <v>2000</v>
      </c>
      <c r="H21" s="2">
        <f t="shared" si="0"/>
        <v>14000</v>
      </c>
    </row>
    <row r="22" spans="1:8" x14ac:dyDescent="0.25">
      <c r="A22" s="2">
        <v>21</v>
      </c>
      <c r="B22" s="3">
        <v>44582</v>
      </c>
      <c r="C22" s="2" t="s">
        <v>14</v>
      </c>
      <c r="D22" s="2" t="s">
        <v>9</v>
      </c>
      <c r="E22" s="2" t="s">
        <v>15</v>
      </c>
      <c r="F22" s="2">
        <v>4</v>
      </c>
      <c r="G22" s="2">
        <v>2500</v>
      </c>
      <c r="H22" s="2">
        <f t="shared" si="0"/>
        <v>10000</v>
      </c>
    </row>
    <row r="23" spans="1:8" x14ac:dyDescent="0.25">
      <c r="A23" s="2">
        <v>22</v>
      </c>
      <c r="B23" s="3">
        <v>44583</v>
      </c>
      <c r="C23" s="2" t="s">
        <v>16</v>
      </c>
      <c r="D23" s="2" t="s">
        <v>12</v>
      </c>
      <c r="E23" s="2" t="s">
        <v>17</v>
      </c>
      <c r="F23" s="2">
        <v>3</v>
      </c>
      <c r="G23" s="2">
        <v>1000</v>
      </c>
      <c r="H23" s="2">
        <f t="shared" si="0"/>
        <v>3000</v>
      </c>
    </row>
    <row r="24" spans="1:8" x14ac:dyDescent="0.25">
      <c r="A24" s="2">
        <v>23</v>
      </c>
      <c r="B24" s="3">
        <v>44584</v>
      </c>
      <c r="C24" s="2" t="s">
        <v>18</v>
      </c>
      <c r="D24" s="2" t="s">
        <v>9</v>
      </c>
      <c r="E24" s="2" t="s">
        <v>19</v>
      </c>
      <c r="F24" s="2">
        <v>3</v>
      </c>
      <c r="G24" s="2">
        <v>250</v>
      </c>
      <c r="H24" s="2">
        <f t="shared" si="0"/>
        <v>750</v>
      </c>
    </row>
    <row r="25" spans="1:8" x14ac:dyDescent="0.25">
      <c r="A25" s="2">
        <v>24</v>
      </c>
      <c r="B25" s="3">
        <v>44585</v>
      </c>
      <c r="C25" s="2" t="s">
        <v>20</v>
      </c>
      <c r="D25" s="2" t="s">
        <v>9</v>
      </c>
      <c r="E25" s="2" t="s">
        <v>21</v>
      </c>
      <c r="F25" s="2">
        <v>7</v>
      </c>
      <c r="G25" s="2">
        <v>300</v>
      </c>
      <c r="H25" s="2">
        <f t="shared" si="0"/>
        <v>2100</v>
      </c>
    </row>
    <row r="26" spans="1:8" x14ac:dyDescent="0.25">
      <c r="A26" s="2">
        <v>25</v>
      </c>
      <c r="B26" s="3">
        <v>44586</v>
      </c>
      <c r="C26" s="2" t="s">
        <v>8</v>
      </c>
      <c r="D26" s="2" t="s">
        <v>9</v>
      </c>
      <c r="E26" s="2" t="s">
        <v>10</v>
      </c>
      <c r="F26" s="2">
        <v>7</v>
      </c>
      <c r="G26" s="2">
        <v>210</v>
      </c>
      <c r="H26" s="2">
        <f t="shared" si="0"/>
        <v>1470</v>
      </c>
    </row>
    <row r="27" spans="1:8" x14ac:dyDescent="0.25">
      <c r="A27" s="2">
        <v>26</v>
      </c>
      <c r="B27" s="3">
        <v>44587</v>
      </c>
      <c r="C27" s="2" t="s">
        <v>11</v>
      </c>
      <c r="D27" s="2" t="s">
        <v>12</v>
      </c>
      <c r="E27" s="2" t="s">
        <v>13</v>
      </c>
      <c r="F27" s="2">
        <v>6</v>
      </c>
      <c r="G27" s="2">
        <v>2000</v>
      </c>
      <c r="H27" s="2">
        <f t="shared" si="0"/>
        <v>12000</v>
      </c>
    </row>
    <row r="28" spans="1:8" x14ac:dyDescent="0.25">
      <c r="A28" s="2">
        <v>27</v>
      </c>
      <c r="B28" s="3">
        <v>44588</v>
      </c>
      <c r="C28" s="2" t="s">
        <v>14</v>
      </c>
      <c r="D28" s="2" t="s">
        <v>9</v>
      </c>
      <c r="E28" s="2" t="s">
        <v>15</v>
      </c>
      <c r="F28" s="2">
        <v>7</v>
      </c>
      <c r="G28" s="2">
        <v>2500</v>
      </c>
      <c r="H28" s="2">
        <f t="shared" si="0"/>
        <v>17500</v>
      </c>
    </row>
    <row r="29" spans="1:8" x14ac:dyDescent="0.25">
      <c r="A29" s="2">
        <v>28</v>
      </c>
      <c r="B29" s="3">
        <v>44589</v>
      </c>
      <c r="C29" s="2" t="s">
        <v>16</v>
      </c>
      <c r="D29" s="2" t="s">
        <v>12</v>
      </c>
      <c r="E29" s="2" t="s">
        <v>17</v>
      </c>
      <c r="F29" s="2">
        <v>7</v>
      </c>
      <c r="G29" s="2">
        <v>1000</v>
      </c>
      <c r="H29" s="2">
        <f t="shared" si="0"/>
        <v>7000</v>
      </c>
    </row>
    <row r="30" spans="1:8" x14ac:dyDescent="0.25">
      <c r="A30" s="2">
        <v>29</v>
      </c>
      <c r="B30" s="3">
        <v>44590</v>
      </c>
      <c r="C30" s="2" t="s">
        <v>18</v>
      </c>
      <c r="D30" s="2" t="s">
        <v>9</v>
      </c>
      <c r="E30" s="2" t="s">
        <v>19</v>
      </c>
      <c r="F30" s="2">
        <v>5</v>
      </c>
      <c r="G30" s="2">
        <v>250</v>
      </c>
      <c r="H30" s="2">
        <f t="shared" si="0"/>
        <v>1250</v>
      </c>
    </row>
    <row r="31" spans="1:8" x14ac:dyDescent="0.25">
      <c r="A31" s="2">
        <v>30</v>
      </c>
      <c r="B31" s="3">
        <v>44591</v>
      </c>
      <c r="C31" s="2" t="s">
        <v>20</v>
      </c>
      <c r="D31" s="2" t="s">
        <v>9</v>
      </c>
      <c r="E31" s="2" t="s">
        <v>21</v>
      </c>
      <c r="F31" s="2">
        <v>5</v>
      </c>
      <c r="G31" s="2">
        <v>300</v>
      </c>
      <c r="H31" s="2">
        <f t="shared" si="0"/>
        <v>1500</v>
      </c>
    </row>
    <row r="32" spans="1:8" x14ac:dyDescent="0.25">
      <c r="A32" s="2">
        <v>31</v>
      </c>
      <c r="B32" s="3">
        <v>44592</v>
      </c>
      <c r="C32" s="2" t="s">
        <v>8</v>
      </c>
      <c r="D32" s="2" t="s">
        <v>9</v>
      </c>
      <c r="E32" s="2" t="s">
        <v>10</v>
      </c>
      <c r="F32" s="2">
        <v>5</v>
      </c>
      <c r="G32" s="2">
        <v>210</v>
      </c>
      <c r="H32" s="2">
        <f t="shared" si="0"/>
        <v>1050</v>
      </c>
    </row>
    <row r="33" spans="1:8" x14ac:dyDescent="0.25">
      <c r="A33" s="2">
        <v>32</v>
      </c>
      <c r="B33" s="3">
        <v>44593</v>
      </c>
      <c r="C33" s="2" t="s">
        <v>11</v>
      </c>
      <c r="D33" s="2" t="s">
        <v>12</v>
      </c>
      <c r="E33" s="2" t="s">
        <v>13</v>
      </c>
      <c r="F33" s="2">
        <v>7</v>
      </c>
      <c r="G33" s="2">
        <v>2000</v>
      </c>
      <c r="H33" s="2">
        <f t="shared" si="0"/>
        <v>14000</v>
      </c>
    </row>
    <row r="34" spans="1:8" x14ac:dyDescent="0.25">
      <c r="A34" s="2">
        <v>33</v>
      </c>
      <c r="B34" s="3">
        <v>44594</v>
      </c>
      <c r="C34" s="2" t="s">
        <v>14</v>
      </c>
      <c r="D34" s="2" t="s">
        <v>9</v>
      </c>
      <c r="E34" s="2" t="s">
        <v>15</v>
      </c>
      <c r="F34" s="2">
        <v>3</v>
      </c>
      <c r="G34" s="2">
        <v>2500</v>
      </c>
      <c r="H34" s="2">
        <f t="shared" si="0"/>
        <v>7500</v>
      </c>
    </row>
    <row r="35" spans="1:8" x14ac:dyDescent="0.25">
      <c r="A35" s="2">
        <v>34</v>
      </c>
      <c r="B35" s="3">
        <v>44595</v>
      </c>
      <c r="C35" s="2" t="s">
        <v>16</v>
      </c>
      <c r="D35" s="2" t="s">
        <v>12</v>
      </c>
      <c r="E35" s="2" t="s">
        <v>17</v>
      </c>
      <c r="F35" s="2">
        <v>6</v>
      </c>
      <c r="G35" s="2">
        <v>1000</v>
      </c>
      <c r="H35" s="2">
        <f t="shared" si="0"/>
        <v>6000</v>
      </c>
    </row>
    <row r="36" spans="1:8" x14ac:dyDescent="0.25">
      <c r="A36" s="2">
        <v>35</v>
      </c>
      <c r="B36" s="3">
        <v>44596</v>
      </c>
      <c r="C36" s="2" t="s">
        <v>18</v>
      </c>
      <c r="D36" s="2" t="s">
        <v>9</v>
      </c>
      <c r="E36" s="2" t="s">
        <v>19</v>
      </c>
      <c r="F36" s="2">
        <v>8</v>
      </c>
      <c r="G36" s="2">
        <v>250</v>
      </c>
      <c r="H36" s="2">
        <f t="shared" si="0"/>
        <v>2000</v>
      </c>
    </row>
    <row r="37" spans="1:8" x14ac:dyDescent="0.25">
      <c r="A37" s="2">
        <v>36</v>
      </c>
      <c r="B37" s="3">
        <v>44597</v>
      </c>
      <c r="C37" s="2" t="s">
        <v>20</v>
      </c>
      <c r="D37" s="2" t="s">
        <v>9</v>
      </c>
      <c r="E37" s="2" t="s">
        <v>21</v>
      </c>
      <c r="F37" s="2">
        <v>4</v>
      </c>
      <c r="G37" s="2">
        <v>300</v>
      </c>
      <c r="H37" s="2">
        <f t="shared" si="0"/>
        <v>1200</v>
      </c>
    </row>
    <row r="38" spans="1:8" x14ac:dyDescent="0.25">
      <c r="A38" s="2">
        <v>37</v>
      </c>
      <c r="B38" s="3">
        <v>44598</v>
      </c>
      <c r="C38" s="2" t="s">
        <v>8</v>
      </c>
      <c r="D38" s="2" t="s">
        <v>9</v>
      </c>
      <c r="E38" s="2" t="s">
        <v>10</v>
      </c>
      <c r="F38" s="2">
        <v>7</v>
      </c>
      <c r="G38" s="2">
        <v>210</v>
      </c>
      <c r="H38" s="2">
        <f t="shared" si="0"/>
        <v>1470</v>
      </c>
    </row>
    <row r="39" spans="1:8" x14ac:dyDescent="0.25">
      <c r="A39" s="2">
        <v>38</v>
      </c>
      <c r="B39" s="3">
        <v>44599</v>
      </c>
      <c r="C39" s="2" t="s">
        <v>11</v>
      </c>
      <c r="D39" s="2" t="s">
        <v>12</v>
      </c>
      <c r="E39" s="2" t="s">
        <v>13</v>
      </c>
      <c r="F39" s="2">
        <v>3</v>
      </c>
      <c r="G39" s="2">
        <v>2000</v>
      </c>
      <c r="H39" s="2">
        <f t="shared" si="0"/>
        <v>6000</v>
      </c>
    </row>
    <row r="40" spans="1:8" x14ac:dyDescent="0.25">
      <c r="A40" s="2">
        <v>39</v>
      </c>
      <c r="B40" s="3">
        <v>44600</v>
      </c>
      <c r="C40" s="2" t="s">
        <v>14</v>
      </c>
      <c r="D40" s="2" t="s">
        <v>9</v>
      </c>
      <c r="E40" s="2" t="s">
        <v>15</v>
      </c>
      <c r="F40" s="2">
        <v>4</v>
      </c>
      <c r="G40" s="2">
        <v>2500</v>
      </c>
      <c r="H40" s="2">
        <f t="shared" si="0"/>
        <v>10000</v>
      </c>
    </row>
    <row r="41" spans="1:8" x14ac:dyDescent="0.25">
      <c r="A41" s="2">
        <v>40</v>
      </c>
      <c r="B41" s="3">
        <v>44601</v>
      </c>
      <c r="C41" s="2" t="s">
        <v>16</v>
      </c>
      <c r="D41" s="2" t="s">
        <v>12</v>
      </c>
      <c r="E41" s="2" t="s">
        <v>17</v>
      </c>
      <c r="F41" s="2">
        <v>9</v>
      </c>
      <c r="G41" s="2">
        <v>1000</v>
      </c>
      <c r="H41" s="2">
        <f t="shared" si="0"/>
        <v>9000</v>
      </c>
    </row>
    <row r="42" spans="1:8" x14ac:dyDescent="0.25">
      <c r="A42" s="2">
        <v>41</v>
      </c>
      <c r="B42" s="3">
        <v>44602</v>
      </c>
      <c r="C42" s="2" t="s">
        <v>18</v>
      </c>
      <c r="D42" s="2" t="s">
        <v>9</v>
      </c>
      <c r="E42" s="2" t="s">
        <v>19</v>
      </c>
      <c r="F42" s="2">
        <v>9</v>
      </c>
      <c r="G42" s="2">
        <v>250</v>
      </c>
      <c r="H42" s="2">
        <f t="shared" si="0"/>
        <v>2250</v>
      </c>
    </row>
    <row r="43" spans="1:8" x14ac:dyDescent="0.25">
      <c r="A43" s="2">
        <v>42</v>
      </c>
      <c r="B43" s="3">
        <v>44603</v>
      </c>
      <c r="C43" s="2" t="s">
        <v>20</v>
      </c>
      <c r="D43" s="2" t="s">
        <v>9</v>
      </c>
      <c r="E43" s="2" t="s">
        <v>21</v>
      </c>
      <c r="F43" s="2">
        <v>6</v>
      </c>
      <c r="G43" s="2">
        <v>300</v>
      </c>
      <c r="H43" s="2">
        <f t="shared" si="0"/>
        <v>1800</v>
      </c>
    </row>
    <row r="44" spans="1:8" x14ac:dyDescent="0.25">
      <c r="A44" s="2">
        <v>43</v>
      </c>
      <c r="B44" s="3">
        <v>44604</v>
      </c>
      <c r="C44" s="2" t="s">
        <v>8</v>
      </c>
      <c r="D44" s="2" t="s">
        <v>9</v>
      </c>
      <c r="E44" s="2" t="s">
        <v>10</v>
      </c>
      <c r="F44" s="2">
        <v>9</v>
      </c>
      <c r="G44" s="2">
        <v>210</v>
      </c>
      <c r="H44" s="2">
        <f t="shared" si="0"/>
        <v>1890</v>
      </c>
    </row>
    <row r="45" spans="1:8" x14ac:dyDescent="0.25">
      <c r="A45" s="2">
        <v>44</v>
      </c>
      <c r="B45" s="3">
        <v>44605</v>
      </c>
      <c r="C45" s="2" t="s">
        <v>11</v>
      </c>
      <c r="D45" s="2" t="s">
        <v>12</v>
      </c>
      <c r="E45" s="2" t="s">
        <v>13</v>
      </c>
      <c r="F45" s="2">
        <v>3</v>
      </c>
      <c r="G45" s="2">
        <v>2000</v>
      </c>
      <c r="H45" s="2">
        <f t="shared" si="0"/>
        <v>6000</v>
      </c>
    </row>
    <row r="46" spans="1:8" x14ac:dyDescent="0.25">
      <c r="A46" s="2">
        <v>45</v>
      </c>
      <c r="B46" s="3">
        <v>44606</v>
      </c>
      <c r="C46" s="2" t="s">
        <v>14</v>
      </c>
      <c r="D46" s="2" t="s">
        <v>9</v>
      </c>
      <c r="E46" s="2" t="s">
        <v>15</v>
      </c>
      <c r="F46" s="2">
        <v>8</v>
      </c>
      <c r="G46" s="2">
        <v>2500</v>
      </c>
      <c r="H46" s="2">
        <f t="shared" si="0"/>
        <v>20000</v>
      </c>
    </row>
    <row r="47" spans="1:8" x14ac:dyDescent="0.25">
      <c r="A47" s="2">
        <v>46</v>
      </c>
      <c r="B47" s="3">
        <v>44607</v>
      </c>
      <c r="C47" s="2" t="s">
        <v>16</v>
      </c>
      <c r="D47" s="2" t="s">
        <v>12</v>
      </c>
      <c r="E47" s="2" t="s">
        <v>17</v>
      </c>
      <c r="F47" s="2">
        <v>6</v>
      </c>
      <c r="G47" s="2">
        <v>1000</v>
      </c>
      <c r="H47" s="2">
        <f t="shared" si="0"/>
        <v>6000</v>
      </c>
    </row>
    <row r="48" spans="1:8" x14ac:dyDescent="0.25">
      <c r="A48" s="2">
        <v>47</v>
      </c>
      <c r="B48" s="3">
        <v>44608</v>
      </c>
      <c r="C48" s="2" t="s">
        <v>18</v>
      </c>
      <c r="D48" s="2" t="s">
        <v>9</v>
      </c>
      <c r="E48" s="2" t="s">
        <v>19</v>
      </c>
      <c r="F48" s="2">
        <v>9</v>
      </c>
      <c r="G48" s="2">
        <v>250</v>
      </c>
      <c r="H48" s="2">
        <f t="shared" si="0"/>
        <v>2250</v>
      </c>
    </row>
    <row r="49" spans="1:8" x14ac:dyDescent="0.25">
      <c r="A49" s="2">
        <v>48</v>
      </c>
      <c r="B49" s="3">
        <v>44609</v>
      </c>
      <c r="C49" s="2" t="s">
        <v>20</v>
      </c>
      <c r="D49" s="2" t="s">
        <v>9</v>
      </c>
      <c r="E49" s="2" t="s">
        <v>21</v>
      </c>
      <c r="F49" s="2">
        <v>9</v>
      </c>
      <c r="G49" s="2">
        <v>300</v>
      </c>
      <c r="H49" s="2">
        <f t="shared" si="0"/>
        <v>2700</v>
      </c>
    </row>
    <row r="50" spans="1:8" x14ac:dyDescent="0.25">
      <c r="A50" s="2">
        <v>49</v>
      </c>
      <c r="B50" s="3">
        <v>44610</v>
      </c>
      <c r="C50" s="2" t="s">
        <v>8</v>
      </c>
      <c r="D50" s="2" t="s">
        <v>9</v>
      </c>
      <c r="E50" s="2" t="s">
        <v>10</v>
      </c>
      <c r="F50" s="2">
        <v>7</v>
      </c>
      <c r="G50" s="2">
        <v>210</v>
      </c>
      <c r="H50" s="2">
        <f t="shared" si="0"/>
        <v>1470</v>
      </c>
    </row>
    <row r="51" spans="1:8" x14ac:dyDescent="0.25">
      <c r="A51" s="2">
        <v>50</v>
      </c>
      <c r="B51" s="3">
        <v>44611</v>
      </c>
      <c r="C51" s="2" t="s">
        <v>11</v>
      </c>
      <c r="D51" s="2" t="s">
        <v>12</v>
      </c>
      <c r="E51" s="2" t="s">
        <v>13</v>
      </c>
      <c r="F51" s="2">
        <v>3</v>
      </c>
      <c r="G51" s="2">
        <v>2000</v>
      </c>
      <c r="H51" s="2">
        <f t="shared" si="0"/>
        <v>6000</v>
      </c>
    </row>
    <row r="52" spans="1:8" x14ac:dyDescent="0.25">
      <c r="A52" s="2">
        <v>51</v>
      </c>
      <c r="B52" s="3">
        <v>44612</v>
      </c>
      <c r="C52" s="2" t="s">
        <v>14</v>
      </c>
      <c r="D52" s="2" t="s">
        <v>9</v>
      </c>
      <c r="E52" s="2" t="s">
        <v>15</v>
      </c>
      <c r="F52" s="2">
        <v>8</v>
      </c>
      <c r="G52" s="2">
        <v>2500</v>
      </c>
      <c r="H52" s="2">
        <f t="shared" si="0"/>
        <v>20000</v>
      </c>
    </row>
    <row r="53" spans="1:8" x14ac:dyDescent="0.25">
      <c r="A53" s="2">
        <v>52</v>
      </c>
      <c r="B53" s="3">
        <v>44613</v>
      </c>
      <c r="C53" s="2" t="s">
        <v>16</v>
      </c>
      <c r="D53" s="2" t="s">
        <v>12</v>
      </c>
      <c r="E53" s="2" t="s">
        <v>17</v>
      </c>
      <c r="F53" s="2">
        <v>8</v>
      </c>
      <c r="G53" s="2">
        <v>1000</v>
      </c>
      <c r="H53" s="2">
        <f t="shared" si="0"/>
        <v>8000</v>
      </c>
    </row>
    <row r="54" spans="1:8" x14ac:dyDescent="0.25">
      <c r="A54" s="2">
        <v>53</v>
      </c>
      <c r="B54" s="3">
        <v>44614</v>
      </c>
      <c r="C54" s="2" t="s">
        <v>18</v>
      </c>
      <c r="D54" s="2" t="s">
        <v>9</v>
      </c>
      <c r="E54" s="2" t="s">
        <v>19</v>
      </c>
      <c r="F54" s="2">
        <v>3</v>
      </c>
      <c r="G54" s="2">
        <v>250</v>
      </c>
      <c r="H54" s="2">
        <f t="shared" si="0"/>
        <v>750</v>
      </c>
    </row>
    <row r="55" spans="1:8" x14ac:dyDescent="0.25">
      <c r="A55" s="2">
        <v>54</v>
      </c>
      <c r="B55" s="3">
        <v>44615</v>
      </c>
      <c r="C55" s="2" t="s">
        <v>20</v>
      </c>
      <c r="D55" s="2" t="s">
        <v>9</v>
      </c>
      <c r="E55" s="2" t="s">
        <v>21</v>
      </c>
      <c r="F55" s="2">
        <v>9</v>
      </c>
      <c r="G55" s="2">
        <v>300</v>
      </c>
      <c r="H55" s="2">
        <f t="shared" si="0"/>
        <v>2700</v>
      </c>
    </row>
    <row r="56" spans="1:8" x14ac:dyDescent="0.25">
      <c r="A56" s="2">
        <v>55</v>
      </c>
      <c r="B56" s="3">
        <v>44616</v>
      </c>
      <c r="C56" s="2" t="s">
        <v>8</v>
      </c>
      <c r="D56" s="2" t="s">
        <v>9</v>
      </c>
      <c r="E56" s="2" t="s">
        <v>10</v>
      </c>
      <c r="F56" s="2">
        <v>7</v>
      </c>
      <c r="G56" s="2">
        <v>210</v>
      </c>
      <c r="H56" s="2">
        <f t="shared" si="0"/>
        <v>1470</v>
      </c>
    </row>
    <row r="57" spans="1:8" x14ac:dyDescent="0.25">
      <c r="A57" s="2">
        <v>56</v>
      </c>
      <c r="B57" s="3">
        <v>44617</v>
      </c>
      <c r="C57" s="2" t="s">
        <v>11</v>
      </c>
      <c r="D57" s="2" t="s">
        <v>12</v>
      </c>
      <c r="E57" s="2" t="s">
        <v>13</v>
      </c>
      <c r="F57" s="2">
        <v>6</v>
      </c>
      <c r="G57" s="2">
        <v>2000</v>
      </c>
      <c r="H57" s="2">
        <f t="shared" si="0"/>
        <v>12000</v>
      </c>
    </row>
    <row r="58" spans="1:8" x14ac:dyDescent="0.25">
      <c r="A58" s="2">
        <v>57</v>
      </c>
      <c r="B58" s="3">
        <v>44618</v>
      </c>
      <c r="C58" s="2" t="s">
        <v>14</v>
      </c>
      <c r="D58" s="2" t="s">
        <v>9</v>
      </c>
      <c r="E58" s="2" t="s">
        <v>15</v>
      </c>
      <c r="F58" s="2">
        <v>4</v>
      </c>
      <c r="G58" s="2">
        <v>2500</v>
      </c>
      <c r="H58" s="2">
        <f t="shared" si="0"/>
        <v>10000</v>
      </c>
    </row>
    <row r="59" spans="1:8" x14ac:dyDescent="0.25">
      <c r="A59" s="2">
        <v>58</v>
      </c>
      <c r="B59" s="3">
        <v>44619</v>
      </c>
      <c r="C59" s="2" t="s">
        <v>16</v>
      </c>
      <c r="D59" s="2" t="s">
        <v>12</v>
      </c>
      <c r="E59" s="2" t="s">
        <v>17</v>
      </c>
      <c r="F59" s="2">
        <v>9</v>
      </c>
      <c r="G59" s="2">
        <v>1000</v>
      </c>
      <c r="H59" s="2">
        <f t="shared" si="0"/>
        <v>9000</v>
      </c>
    </row>
    <row r="60" spans="1:8" x14ac:dyDescent="0.25">
      <c r="A60" s="2">
        <v>59</v>
      </c>
      <c r="B60" s="3">
        <v>44620</v>
      </c>
      <c r="C60" s="2" t="s">
        <v>18</v>
      </c>
      <c r="D60" s="2" t="s">
        <v>9</v>
      </c>
      <c r="E60" s="2" t="s">
        <v>19</v>
      </c>
      <c r="F60" s="2">
        <v>8</v>
      </c>
      <c r="G60" s="2">
        <v>250</v>
      </c>
      <c r="H60" s="2">
        <f t="shared" si="0"/>
        <v>2000</v>
      </c>
    </row>
    <row r="61" spans="1:8" x14ac:dyDescent="0.25">
      <c r="A61" s="2">
        <v>60</v>
      </c>
      <c r="B61" s="3">
        <v>44621</v>
      </c>
      <c r="C61" s="2" t="s">
        <v>20</v>
      </c>
      <c r="D61" s="2" t="s">
        <v>9</v>
      </c>
      <c r="E61" s="2" t="s">
        <v>21</v>
      </c>
      <c r="F61" s="2">
        <v>7</v>
      </c>
      <c r="G61" s="2">
        <v>300</v>
      </c>
      <c r="H61" s="2">
        <f t="shared" si="0"/>
        <v>2100</v>
      </c>
    </row>
    <row r="62" spans="1:8" x14ac:dyDescent="0.25">
      <c r="A62" s="2">
        <v>61</v>
      </c>
      <c r="B62" s="3">
        <v>44622</v>
      </c>
      <c r="C62" s="2" t="s">
        <v>8</v>
      </c>
      <c r="D62" s="2" t="s">
        <v>9</v>
      </c>
      <c r="E62" s="2" t="s">
        <v>10</v>
      </c>
      <c r="F62" s="2">
        <v>9</v>
      </c>
      <c r="G62" s="2">
        <v>210</v>
      </c>
      <c r="H62" s="2">
        <f t="shared" si="0"/>
        <v>1890</v>
      </c>
    </row>
    <row r="63" spans="1:8" x14ac:dyDescent="0.25">
      <c r="A63" s="2">
        <v>62</v>
      </c>
      <c r="B63" s="3">
        <v>44623</v>
      </c>
      <c r="C63" s="2" t="s">
        <v>11</v>
      </c>
      <c r="D63" s="2" t="s">
        <v>12</v>
      </c>
      <c r="E63" s="2" t="s">
        <v>13</v>
      </c>
      <c r="F63" s="2">
        <v>4</v>
      </c>
      <c r="G63" s="2">
        <v>2000</v>
      </c>
      <c r="H63" s="2">
        <f t="shared" si="0"/>
        <v>8000</v>
      </c>
    </row>
    <row r="64" spans="1:8" x14ac:dyDescent="0.25">
      <c r="A64" s="2">
        <v>63</v>
      </c>
      <c r="B64" s="3">
        <v>44624</v>
      </c>
      <c r="C64" s="2" t="s">
        <v>14</v>
      </c>
      <c r="D64" s="2" t="s">
        <v>9</v>
      </c>
      <c r="E64" s="2" t="s">
        <v>15</v>
      </c>
      <c r="F64" s="2">
        <v>6</v>
      </c>
      <c r="G64" s="2">
        <v>2500</v>
      </c>
      <c r="H64" s="2">
        <f t="shared" si="0"/>
        <v>15000</v>
      </c>
    </row>
    <row r="65" spans="1:8" x14ac:dyDescent="0.25">
      <c r="A65" s="2">
        <v>64</v>
      </c>
      <c r="B65" s="3">
        <v>44625</v>
      </c>
      <c r="C65" s="2" t="s">
        <v>16</v>
      </c>
      <c r="D65" s="2" t="s">
        <v>12</v>
      </c>
      <c r="E65" s="2" t="s">
        <v>17</v>
      </c>
      <c r="F65" s="2">
        <v>7</v>
      </c>
      <c r="G65" s="2">
        <v>1000</v>
      </c>
      <c r="H65" s="2">
        <f t="shared" si="0"/>
        <v>7000</v>
      </c>
    </row>
    <row r="66" spans="1:8" x14ac:dyDescent="0.25">
      <c r="A66" s="2">
        <v>65</v>
      </c>
      <c r="B66" s="3">
        <v>44626</v>
      </c>
      <c r="C66" s="2" t="s">
        <v>18</v>
      </c>
      <c r="D66" s="2" t="s">
        <v>9</v>
      </c>
      <c r="E66" s="2" t="s">
        <v>19</v>
      </c>
      <c r="F66" s="2">
        <v>4</v>
      </c>
      <c r="G66" s="2">
        <v>250</v>
      </c>
      <c r="H66" s="2">
        <f t="shared" si="0"/>
        <v>1000</v>
      </c>
    </row>
    <row r="67" spans="1:8" x14ac:dyDescent="0.25">
      <c r="A67" s="2">
        <v>66</v>
      </c>
      <c r="B67" s="3">
        <v>44627</v>
      </c>
      <c r="C67" s="2" t="s">
        <v>20</v>
      </c>
      <c r="D67" s="2" t="s">
        <v>9</v>
      </c>
      <c r="E67" s="2" t="s">
        <v>21</v>
      </c>
      <c r="F67" s="2">
        <v>7</v>
      </c>
      <c r="G67" s="2">
        <v>300</v>
      </c>
      <c r="H67" s="2">
        <f t="shared" ref="H67:H130" si="1">G67*F67</f>
        <v>2100</v>
      </c>
    </row>
    <row r="68" spans="1:8" x14ac:dyDescent="0.25">
      <c r="A68" s="2">
        <v>67</v>
      </c>
      <c r="B68" s="3">
        <v>44628</v>
      </c>
      <c r="C68" s="2" t="s">
        <v>8</v>
      </c>
      <c r="D68" s="2" t="s">
        <v>9</v>
      </c>
      <c r="E68" s="2" t="s">
        <v>10</v>
      </c>
      <c r="F68" s="2">
        <v>4</v>
      </c>
      <c r="G68" s="2">
        <v>210</v>
      </c>
      <c r="H68" s="2">
        <f t="shared" si="1"/>
        <v>840</v>
      </c>
    </row>
    <row r="69" spans="1:8" x14ac:dyDescent="0.25">
      <c r="A69" s="2">
        <v>68</v>
      </c>
      <c r="B69" s="3">
        <v>44629</v>
      </c>
      <c r="C69" s="2" t="s">
        <v>11</v>
      </c>
      <c r="D69" s="2" t="s">
        <v>12</v>
      </c>
      <c r="E69" s="2" t="s">
        <v>13</v>
      </c>
      <c r="F69" s="2">
        <v>4</v>
      </c>
      <c r="G69" s="2">
        <v>2000</v>
      </c>
      <c r="H69" s="2">
        <f t="shared" si="1"/>
        <v>8000</v>
      </c>
    </row>
    <row r="70" spans="1:8" x14ac:dyDescent="0.25">
      <c r="A70" s="2">
        <v>69</v>
      </c>
      <c r="B70" s="3">
        <v>44630</v>
      </c>
      <c r="C70" s="2" t="s">
        <v>14</v>
      </c>
      <c r="D70" s="2" t="s">
        <v>9</v>
      </c>
      <c r="E70" s="2" t="s">
        <v>15</v>
      </c>
      <c r="F70" s="2">
        <v>9</v>
      </c>
      <c r="G70" s="2">
        <v>2500</v>
      </c>
      <c r="H70" s="2">
        <f t="shared" si="1"/>
        <v>22500</v>
      </c>
    </row>
    <row r="71" spans="1:8" x14ac:dyDescent="0.25">
      <c r="A71" s="2">
        <v>70</v>
      </c>
      <c r="B71" s="3">
        <v>44631</v>
      </c>
      <c r="C71" s="2" t="s">
        <v>16</v>
      </c>
      <c r="D71" s="2" t="s">
        <v>12</v>
      </c>
      <c r="E71" s="2" t="s">
        <v>17</v>
      </c>
      <c r="F71" s="2">
        <v>3</v>
      </c>
      <c r="G71" s="2">
        <v>1000</v>
      </c>
      <c r="H71" s="2">
        <f t="shared" si="1"/>
        <v>3000</v>
      </c>
    </row>
    <row r="72" spans="1:8" x14ac:dyDescent="0.25">
      <c r="A72" s="2">
        <v>71</v>
      </c>
      <c r="B72" s="3">
        <v>44632</v>
      </c>
      <c r="C72" s="2" t="s">
        <v>18</v>
      </c>
      <c r="D72" s="2" t="s">
        <v>9</v>
      </c>
      <c r="E72" s="2" t="s">
        <v>19</v>
      </c>
      <c r="F72" s="2">
        <v>8</v>
      </c>
      <c r="G72" s="2">
        <v>250</v>
      </c>
      <c r="H72" s="2">
        <f t="shared" si="1"/>
        <v>2000</v>
      </c>
    </row>
    <row r="73" spans="1:8" x14ac:dyDescent="0.25">
      <c r="A73" s="2">
        <v>72</v>
      </c>
      <c r="B73" s="3">
        <v>44633</v>
      </c>
      <c r="C73" s="2" t="s">
        <v>20</v>
      </c>
      <c r="D73" s="2" t="s">
        <v>9</v>
      </c>
      <c r="E73" s="2" t="s">
        <v>21</v>
      </c>
      <c r="F73" s="2">
        <v>7</v>
      </c>
      <c r="G73" s="2">
        <v>300</v>
      </c>
      <c r="H73" s="2">
        <f t="shared" si="1"/>
        <v>2100</v>
      </c>
    </row>
    <row r="74" spans="1:8" x14ac:dyDescent="0.25">
      <c r="A74" s="2">
        <v>73</v>
      </c>
      <c r="B74" s="3">
        <v>44634</v>
      </c>
      <c r="C74" s="2" t="s">
        <v>8</v>
      </c>
      <c r="D74" s="2" t="s">
        <v>9</v>
      </c>
      <c r="E74" s="2" t="s">
        <v>10</v>
      </c>
      <c r="F74" s="2">
        <v>9</v>
      </c>
      <c r="G74" s="2">
        <v>210</v>
      </c>
      <c r="H74" s="2">
        <f t="shared" si="1"/>
        <v>1890</v>
      </c>
    </row>
    <row r="75" spans="1:8" x14ac:dyDescent="0.25">
      <c r="A75" s="2">
        <v>74</v>
      </c>
      <c r="B75" s="3">
        <v>44635</v>
      </c>
      <c r="C75" s="2" t="s">
        <v>11</v>
      </c>
      <c r="D75" s="2" t="s">
        <v>12</v>
      </c>
      <c r="E75" s="2" t="s">
        <v>13</v>
      </c>
      <c r="F75" s="2">
        <v>5</v>
      </c>
      <c r="G75" s="2">
        <v>2000</v>
      </c>
      <c r="H75" s="2">
        <f t="shared" si="1"/>
        <v>10000</v>
      </c>
    </row>
    <row r="76" spans="1:8" x14ac:dyDescent="0.25">
      <c r="A76" s="2">
        <v>75</v>
      </c>
      <c r="B76" s="3">
        <v>44636</v>
      </c>
      <c r="C76" s="2" t="s">
        <v>14</v>
      </c>
      <c r="D76" s="2" t="s">
        <v>9</v>
      </c>
      <c r="E76" s="2" t="s">
        <v>15</v>
      </c>
      <c r="F76" s="2">
        <v>3</v>
      </c>
      <c r="G76" s="2">
        <v>2500</v>
      </c>
      <c r="H76" s="2">
        <f t="shared" si="1"/>
        <v>7500</v>
      </c>
    </row>
    <row r="77" spans="1:8" x14ac:dyDescent="0.25">
      <c r="A77" s="2">
        <v>76</v>
      </c>
      <c r="B77" s="3">
        <v>44637</v>
      </c>
      <c r="C77" s="2" t="s">
        <v>16</v>
      </c>
      <c r="D77" s="2" t="s">
        <v>12</v>
      </c>
      <c r="E77" s="2" t="s">
        <v>17</v>
      </c>
      <c r="F77" s="2">
        <v>4</v>
      </c>
      <c r="G77" s="2">
        <v>1000</v>
      </c>
      <c r="H77" s="2">
        <f t="shared" si="1"/>
        <v>4000</v>
      </c>
    </row>
    <row r="78" spans="1:8" x14ac:dyDescent="0.25">
      <c r="A78" s="2">
        <v>77</v>
      </c>
      <c r="B78" s="3">
        <v>44638</v>
      </c>
      <c r="C78" s="2" t="s">
        <v>18</v>
      </c>
      <c r="D78" s="2" t="s">
        <v>9</v>
      </c>
      <c r="E78" s="2" t="s">
        <v>19</v>
      </c>
      <c r="F78" s="2">
        <v>9</v>
      </c>
      <c r="G78" s="2">
        <v>250</v>
      </c>
      <c r="H78" s="2">
        <f t="shared" si="1"/>
        <v>2250</v>
      </c>
    </row>
    <row r="79" spans="1:8" x14ac:dyDescent="0.25">
      <c r="A79" s="2">
        <v>78</v>
      </c>
      <c r="B79" s="3">
        <v>44639</v>
      </c>
      <c r="C79" s="2" t="s">
        <v>20</v>
      </c>
      <c r="D79" s="2" t="s">
        <v>9</v>
      </c>
      <c r="E79" s="2" t="s">
        <v>21</v>
      </c>
      <c r="F79" s="2">
        <v>8</v>
      </c>
      <c r="G79" s="2">
        <v>300</v>
      </c>
      <c r="H79" s="2">
        <f t="shared" si="1"/>
        <v>2400</v>
      </c>
    </row>
    <row r="80" spans="1:8" x14ac:dyDescent="0.25">
      <c r="A80" s="2">
        <v>79</v>
      </c>
      <c r="B80" s="3">
        <v>44640</v>
      </c>
      <c r="C80" s="2" t="s">
        <v>8</v>
      </c>
      <c r="D80" s="2" t="s">
        <v>9</v>
      </c>
      <c r="E80" s="2" t="s">
        <v>10</v>
      </c>
      <c r="F80" s="2">
        <v>4</v>
      </c>
      <c r="G80" s="2">
        <v>210</v>
      </c>
      <c r="H80" s="2">
        <f t="shared" si="1"/>
        <v>840</v>
      </c>
    </row>
    <row r="81" spans="1:8" x14ac:dyDescent="0.25">
      <c r="A81" s="2">
        <v>80</v>
      </c>
      <c r="B81" s="3">
        <v>44641</v>
      </c>
      <c r="C81" s="2" t="s">
        <v>11</v>
      </c>
      <c r="D81" s="2" t="s">
        <v>12</v>
      </c>
      <c r="E81" s="2" t="s">
        <v>13</v>
      </c>
      <c r="F81" s="2">
        <v>3</v>
      </c>
      <c r="G81" s="2">
        <v>2000</v>
      </c>
      <c r="H81" s="2">
        <f t="shared" si="1"/>
        <v>6000</v>
      </c>
    </row>
    <row r="82" spans="1:8" x14ac:dyDescent="0.25">
      <c r="A82" s="2">
        <v>81</v>
      </c>
      <c r="B82" s="3">
        <v>44642</v>
      </c>
      <c r="C82" s="2" t="s">
        <v>14</v>
      </c>
      <c r="D82" s="2" t="s">
        <v>9</v>
      </c>
      <c r="E82" s="2" t="s">
        <v>15</v>
      </c>
      <c r="F82" s="2">
        <v>7</v>
      </c>
      <c r="G82" s="2">
        <v>2500</v>
      </c>
      <c r="H82" s="2">
        <f t="shared" si="1"/>
        <v>17500</v>
      </c>
    </row>
    <row r="83" spans="1:8" x14ac:dyDescent="0.25">
      <c r="A83" s="2">
        <v>82</v>
      </c>
      <c r="B83" s="3">
        <v>44643</v>
      </c>
      <c r="C83" s="2" t="s">
        <v>16</v>
      </c>
      <c r="D83" s="2" t="s">
        <v>12</v>
      </c>
      <c r="E83" s="2" t="s">
        <v>17</v>
      </c>
      <c r="F83" s="2">
        <v>7</v>
      </c>
      <c r="G83" s="2">
        <v>1000</v>
      </c>
      <c r="H83" s="2">
        <f t="shared" si="1"/>
        <v>7000</v>
      </c>
    </row>
    <row r="84" spans="1:8" x14ac:dyDescent="0.25">
      <c r="A84" s="2">
        <v>83</v>
      </c>
      <c r="B84" s="3">
        <v>44644</v>
      </c>
      <c r="C84" s="2" t="s">
        <v>18</v>
      </c>
      <c r="D84" s="2" t="s">
        <v>9</v>
      </c>
      <c r="E84" s="2" t="s">
        <v>19</v>
      </c>
      <c r="F84" s="2">
        <v>9</v>
      </c>
      <c r="G84" s="2">
        <v>250</v>
      </c>
      <c r="H84" s="2">
        <f t="shared" si="1"/>
        <v>2250</v>
      </c>
    </row>
    <row r="85" spans="1:8" x14ac:dyDescent="0.25">
      <c r="A85" s="2">
        <v>84</v>
      </c>
      <c r="B85" s="3">
        <v>44645</v>
      </c>
      <c r="C85" s="2" t="s">
        <v>20</v>
      </c>
      <c r="D85" s="2" t="s">
        <v>9</v>
      </c>
      <c r="E85" s="2" t="s">
        <v>21</v>
      </c>
      <c r="F85" s="2">
        <v>4</v>
      </c>
      <c r="G85" s="2">
        <v>300</v>
      </c>
      <c r="H85" s="2">
        <f t="shared" si="1"/>
        <v>1200</v>
      </c>
    </row>
    <row r="86" spans="1:8" x14ac:dyDescent="0.25">
      <c r="A86" s="2">
        <v>85</v>
      </c>
      <c r="B86" s="3">
        <v>44646</v>
      </c>
      <c r="C86" s="2" t="s">
        <v>8</v>
      </c>
      <c r="D86" s="2" t="s">
        <v>9</v>
      </c>
      <c r="E86" s="2" t="s">
        <v>10</v>
      </c>
      <c r="F86" s="2">
        <v>5</v>
      </c>
      <c r="G86" s="2">
        <v>210</v>
      </c>
      <c r="H86" s="2">
        <f t="shared" si="1"/>
        <v>1050</v>
      </c>
    </row>
    <row r="87" spans="1:8" x14ac:dyDescent="0.25">
      <c r="A87" s="2">
        <v>86</v>
      </c>
      <c r="B87" s="3">
        <v>44647</v>
      </c>
      <c r="C87" s="2" t="s">
        <v>11</v>
      </c>
      <c r="D87" s="2" t="s">
        <v>12</v>
      </c>
      <c r="E87" s="2" t="s">
        <v>13</v>
      </c>
      <c r="F87" s="2">
        <v>5</v>
      </c>
      <c r="G87" s="2">
        <v>2000</v>
      </c>
      <c r="H87" s="2">
        <f t="shared" si="1"/>
        <v>10000</v>
      </c>
    </row>
    <row r="88" spans="1:8" x14ac:dyDescent="0.25">
      <c r="A88" s="2">
        <v>87</v>
      </c>
      <c r="B88" s="3">
        <v>44648</v>
      </c>
      <c r="C88" s="2" t="s">
        <v>14</v>
      </c>
      <c r="D88" s="2" t="s">
        <v>9</v>
      </c>
      <c r="E88" s="2" t="s">
        <v>15</v>
      </c>
      <c r="F88" s="2">
        <v>7</v>
      </c>
      <c r="G88" s="2">
        <v>2500</v>
      </c>
      <c r="H88" s="2">
        <f t="shared" si="1"/>
        <v>17500</v>
      </c>
    </row>
    <row r="89" spans="1:8" x14ac:dyDescent="0.25">
      <c r="A89" s="2">
        <v>88</v>
      </c>
      <c r="B89" s="3">
        <v>44649</v>
      </c>
      <c r="C89" s="2" t="s">
        <v>16</v>
      </c>
      <c r="D89" s="2" t="s">
        <v>12</v>
      </c>
      <c r="E89" s="2" t="s">
        <v>17</v>
      </c>
      <c r="F89" s="2">
        <v>8</v>
      </c>
      <c r="G89" s="2">
        <v>1000</v>
      </c>
      <c r="H89" s="2">
        <f t="shared" si="1"/>
        <v>8000</v>
      </c>
    </row>
    <row r="90" spans="1:8" x14ac:dyDescent="0.25">
      <c r="A90" s="2">
        <v>89</v>
      </c>
      <c r="B90" s="3">
        <v>44650</v>
      </c>
      <c r="C90" s="2" t="s">
        <v>18</v>
      </c>
      <c r="D90" s="2" t="s">
        <v>9</v>
      </c>
      <c r="E90" s="2" t="s">
        <v>19</v>
      </c>
      <c r="F90" s="2">
        <v>8</v>
      </c>
      <c r="G90" s="2">
        <v>250</v>
      </c>
      <c r="H90" s="2">
        <f t="shared" si="1"/>
        <v>2000</v>
      </c>
    </row>
    <row r="91" spans="1:8" x14ac:dyDescent="0.25">
      <c r="A91" s="2">
        <v>90</v>
      </c>
      <c r="B91" s="3">
        <v>44651</v>
      </c>
      <c r="C91" s="2" t="s">
        <v>20</v>
      </c>
      <c r="D91" s="2" t="s">
        <v>9</v>
      </c>
      <c r="E91" s="2" t="s">
        <v>21</v>
      </c>
      <c r="F91" s="2">
        <v>7</v>
      </c>
      <c r="G91" s="2">
        <v>300</v>
      </c>
      <c r="H91" s="2">
        <f t="shared" si="1"/>
        <v>2100</v>
      </c>
    </row>
    <row r="92" spans="1:8" x14ac:dyDescent="0.25">
      <c r="A92" s="2">
        <v>91</v>
      </c>
      <c r="B92" s="3">
        <v>44652</v>
      </c>
      <c r="C92" s="2" t="s">
        <v>8</v>
      </c>
      <c r="D92" s="2" t="s">
        <v>9</v>
      </c>
      <c r="E92" s="2" t="s">
        <v>10</v>
      </c>
      <c r="F92" s="2">
        <v>7</v>
      </c>
      <c r="G92" s="2">
        <v>210</v>
      </c>
      <c r="H92" s="2">
        <f t="shared" si="1"/>
        <v>1470</v>
      </c>
    </row>
    <row r="93" spans="1:8" x14ac:dyDescent="0.25">
      <c r="A93" s="2">
        <v>92</v>
      </c>
      <c r="B93" s="3">
        <v>44653</v>
      </c>
      <c r="C93" s="2" t="s">
        <v>11</v>
      </c>
      <c r="D93" s="2" t="s">
        <v>12</v>
      </c>
      <c r="E93" s="2" t="s">
        <v>13</v>
      </c>
      <c r="F93" s="2">
        <v>5</v>
      </c>
      <c r="G93" s="2">
        <v>2000</v>
      </c>
      <c r="H93" s="2">
        <f t="shared" si="1"/>
        <v>10000</v>
      </c>
    </row>
    <row r="94" spans="1:8" x14ac:dyDescent="0.25">
      <c r="A94" s="2">
        <v>93</v>
      </c>
      <c r="B94" s="3">
        <v>44654</v>
      </c>
      <c r="C94" s="2" t="s">
        <v>14</v>
      </c>
      <c r="D94" s="2" t="s">
        <v>9</v>
      </c>
      <c r="E94" s="2" t="s">
        <v>15</v>
      </c>
      <c r="F94" s="2">
        <v>7</v>
      </c>
      <c r="G94" s="2">
        <v>2500</v>
      </c>
      <c r="H94" s="2">
        <f t="shared" si="1"/>
        <v>17500</v>
      </c>
    </row>
    <row r="95" spans="1:8" x14ac:dyDescent="0.25">
      <c r="A95" s="2">
        <v>94</v>
      </c>
      <c r="B95" s="3">
        <v>44655</v>
      </c>
      <c r="C95" s="2" t="s">
        <v>16</v>
      </c>
      <c r="D95" s="2" t="s">
        <v>12</v>
      </c>
      <c r="E95" s="2" t="s">
        <v>17</v>
      </c>
      <c r="F95" s="2">
        <v>4</v>
      </c>
      <c r="G95" s="2">
        <v>1000</v>
      </c>
      <c r="H95" s="2">
        <f t="shared" si="1"/>
        <v>4000</v>
      </c>
    </row>
    <row r="96" spans="1:8" x14ac:dyDescent="0.25">
      <c r="A96" s="2">
        <v>95</v>
      </c>
      <c r="B96" s="3">
        <v>44656</v>
      </c>
      <c r="C96" s="2" t="s">
        <v>18</v>
      </c>
      <c r="D96" s="2" t="s">
        <v>9</v>
      </c>
      <c r="E96" s="2" t="s">
        <v>19</v>
      </c>
      <c r="F96" s="2">
        <v>3</v>
      </c>
      <c r="G96" s="2">
        <v>250</v>
      </c>
      <c r="H96" s="2">
        <f t="shared" si="1"/>
        <v>750</v>
      </c>
    </row>
    <row r="97" spans="1:8" x14ac:dyDescent="0.25">
      <c r="A97" s="2">
        <v>96</v>
      </c>
      <c r="B97" s="3">
        <v>44657</v>
      </c>
      <c r="C97" s="2" t="s">
        <v>20</v>
      </c>
      <c r="D97" s="2" t="s">
        <v>9</v>
      </c>
      <c r="E97" s="2" t="s">
        <v>21</v>
      </c>
      <c r="F97" s="2">
        <v>7</v>
      </c>
      <c r="G97" s="2">
        <v>300</v>
      </c>
      <c r="H97" s="2">
        <f t="shared" si="1"/>
        <v>2100</v>
      </c>
    </row>
    <row r="98" spans="1:8" x14ac:dyDescent="0.25">
      <c r="A98" s="2">
        <v>97</v>
      </c>
      <c r="B98" s="3">
        <v>44658</v>
      </c>
      <c r="C98" s="2" t="s">
        <v>8</v>
      </c>
      <c r="D98" s="2" t="s">
        <v>9</v>
      </c>
      <c r="E98" s="2" t="s">
        <v>10</v>
      </c>
      <c r="F98" s="2">
        <v>5</v>
      </c>
      <c r="G98" s="2">
        <v>210</v>
      </c>
      <c r="H98" s="2">
        <f t="shared" si="1"/>
        <v>1050</v>
      </c>
    </row>
    <row r="99" spans="1:8" x14ac:dyDescent="0.25">
      <c r="A99" s="2">
        <v>98</v>
      </c>
      <c r="B99" s="3">
        <v>44659</v>
      </c>
      <c r="C99" s="2" t="s">
        <v>11</v>
      </c>
      <c r="D99" s="2" t="s">
        <v>12</v>
      </c>
      <c r="E99" s="2" t="s">
        <v>13</v>
      </c>
      <c r="F99" s="2">
        <v>9</v>
      </c>
      <c r="G99" s="2">
        <v>2000</v>
      </c>
      <c r="H99" s="2">
        <f t="shared" si="1"/>
        <v>18000</v>
      </c>
    </row>
    <row r="100" spans="1:8" x14ac:dyDescent="0.25">
      <c r="A100" s="2">
        <v>99</v>
      </c>
      <c r="B100" s="3">
        <v>44660</v>
      </c>
      <c r="C100" s="2" t="s">
        <v>14</v>
      </c>
      <c r="D100" s="2" t="s">
        <v>9</v>
      </c>
      <c r="E100" s="2" t="s">
        <v>15</v>
      </c>
      <c r="F100" s="2">
        <v>8</v>
      </c>
      <c r="G100" s="2">
        <v>2500</v>
      </c>
      <c r="H100" s="2">
        <f t="shared" si="1"/>
        <v>20000</v>
      </c>
    </row>
    <row r="101" spans="1:8" x14ac:dyDescent="0.25">
      <c r="A101" s="2">
        <v>100</v>
      </c>
      <c r="B101" s="3">
        <v>44661</v>
      </c>
      <c r="C101" s="2" t="s">
        <v>16</v>
      </c>
      <c r="D101" s="2" t="s">
        <v>12</v>
      </c>
      <c r="E101" s="2" t="s">
        <v>17</v>
      </c>
      <c r="F101" s="2">
        <v>5</v>
      </c>
      <c r="G101" s="2">
        <v>1000</v>
      </c>
      <c r="H101" s="2">
        <f t="shared" si="1"/>
        <v>5000</v>
      </c>
    </row>
    <row r="102" spans="1:8" x14ac:dyDescent="0.25">
      <c r="A102" s="2">
        <v>101</v>
      </c>
      <c r="B102" s="3">
        <v>44662</v>
      </c>
      <c r="C102" s="2" t="s">
        <v>18</v>
      </c>
      <c r="D102" s="2" t="s">
        <v>9</v>
      </c>
      <c r="E102" s="2" t="s">
        <v>19</v>
      </c>
      <c r="F102" s="2">
        <v>3</v>
      </c>
      <c r="G102" s="2">
        <v>250</v>
      </c>
      <c r="H102" s="2">
        <f t="shared" si="1"/>
        <v>750</v>
      </c>
    </row>
    <row r="103" spans="1:8" x14ac:dyDescent="0.25">
      <c r="A103" s="2">
        <v>102</v>
      </c>
      <c r="B103" s="3">
        <v>44663</v>
      </c>
      <c r="C103" s="2" t="s">
        <v>20</v>
      </c>
      <c r="D103" s="2" t="s">
        <v>9</v>
      </c>
      <c r="E103" s="2" t="s">
        <v>21</v>
      </c>
      <c r="F103" s="2">
        <v>8</v>
      </c>
      <c r="G103" s="2">
        <v>300</v>
      </c>
      <c r="H103" s="2">
        <f t="shared" si="1"/>
        <v>2400</v>
      </c>
    </row>
    <row r="104" spans="1:8" x14ac:dyDescent="0.25">
      <c r="A104" s="2">
        <v>103</v>
      </c>
      <c r="B104" s="3">
        <v>44664</v>
      </c>
      <c r="C104" s="2" t="s">
        <v>8</v>
      </c>
      <c r="D104" s="2" t="s">
        <v>9</v>
      </c>
      <c r="E104" s="2" t="s">
        <v>10</v>
      </c>
      <c r="F104" s="2">
        <v>3</v>
      </c>
      <c r="G104" s="2">
        <v>210</v>
      </c>
      <c r="H104" s="2">
        <f t="shared" si="1"/>
        <v>630</v>
      </c>
    </row>
    <row r="105" spans="1:8" x14ac:dyDescent="0.25">
      <c r="A105" s="2">
        <v>104</v>
      </c>
      <c r="B105" s="3">
        <v>44665</v>
      </c>
      <c r="C105" s="2" t="s">
        <v>11</v>
      </c>
      <c r="D105" s="2" t="s">
        <v>12</v>
      </c>
      <c r="E105" s="2" t="s">
        <v>13</v>
      </c>
      <c r="F105" s="2">
        <v>8</v>
      </c>
      <c r="G105" s="2">
        <v>2000</v>
      </c>
      <c r="H105" s="2">
        <f t="shared" si="1"/>
        <v>16000</v>
      </c>
    </row>
    <row r="106" spans="1:8" x14ac:dyDescent="0.25">
      <c r="A106" s="2">
        <v>105</v>
      </c>
      <c r="B106" s="3">
        <v>44666</v>
      </c>
      <c r="C106" s="2" t="s">
        <v>14</v>
      </c>
      <c r="D106" s="2" t="s">
        <v>9</v>
      </c>
      <c r="E106" s="2" t="s">
        <v>15</v>
      </c>
      <c r="F106" s="2">
        <v>7</v>
      </c>
      <c r="G106" s="2">
        <v>2500</v>
      </c>
      <c r="H106" s="2">
        <f t="shared" si="1"/>
        <v>17500</v>
      </c>
    </row>
    <row r="107" spans="1:8" x14ac:dyDescent="0.25">
      <c r="A107" s="2">
        <v>106</v>
      </c>
      <c r="B107" s="3">
        <v>44667</v>
      </c>
      <c r="C107" s="2" t="s">
        <v>16</v>
      </c>
      <c r="D107" s="2" t="s">
        <v>12</v>
      </c>
      <c r="E107" s="2" t="s">
        <v>17</v>
      </c>
      <c r="F107" s="2">
        <v>3</v>
      </c>
      <c r="G107" s="2">
        <v>1000</v>
      </c>
      <c r="H107" s="2">
        <f t="shared" si="1"/>
        <v>3000</v>
      </c>
    </row>
    <row r="108" spans="1:8" x14ac:dyDescent="0.25">
      <c r="A108" s="2">
        <v>107</v>
      </c>
      <c r="B108" s="3">
        <v>44668</v>
      </c>
      <c r="C108" s="2" t="s">
        <v>18</v>
      </c>
      <c r="D108" s="2" t="s">
        <v>9</v>
      </c>
      <c r="E108" s="2" t="s">
        <v>19</v>
      </c>
      <c r="F108" s="2">
        <v>3</v>
      </c>
      <c r="G108" s="2">
        <v>250</v>
      </c>
      <c r="H108" s="2">
        <f t="shared" si="1"/>
        <v>750</v>
      </c>
    </row>
    <row r="109" spans="1:8" x14ac:dyDescent="0.25">
      <c r="A109" s="2">
        <v>108</v>
      </c>
      <c r="B109" s="3">
        <v>44669</v>
      </c>
      <c r="C109" s="2" t="s">
        <v>20</v>
      </c>
      <c r="D109" s="2" t="s">
        <v>9</v>
      </c>
      <c r="E109" s="2" t="s">
        <v>21</v>
      </c>
      <c r="F109" s="2">
        <v>7</v>
      </c>
      <c r="G109" s="2">
        <v>300</v>
      </c>
      <c r="H109" s="2">
        <f t="shared" si="1"/>
        <v>2100</v>
      </c>
    </row>
    <row r="110" spans="1:8" x14ac:dyDescent="0.25">
      <c r="A110" s="2">
        <v>109</v>
      </c>
      <c r="B110" s="3">
        <v>44670</v>
      </c>
      <c r="C110" s="2" t="s">
        <v>8</v>
      </c>
      <c r="D110" s="2" t="s">
        <v>9</v>
      </c>
      <c r="E110" s="2" t="s">
        <v>10</v>
      </c>
      <c r="F110" s="2">
        <v>4</v>
      </c>
      <c r="G110" s="2">
        <v>210</v>
      </c>
      <c r="H110" s="2">
        <f t="shared" si="1"/>
        <v>840</v>
      </c>
    </row>
    <row r="111" spans="1:8" x14ac:dyDescent="0.25">
      <c r="A111" s="2">
        <v>110</v>
      </c>
      <c r="B111" s="3">
        <v>44671</v>
      </c>
      <c r="C111" s="2" t="s">
        <v>11</v>
      </c>
      <c r="D111" s="2" t="s">
        <v>12</v>
      </c>
      <c r="E111" s="2" t="s">
        <v>13</v>
      </c>
      <c r="F111" s="2">
        <v>4</v>
      </c>
      <c r="G111" s="2">
        <v>2000</v>
      </c>
      <c r="H111" s="2">
        <f t="shared" si="1"/>
        <v>8000</v>
      </c>
    </row>
    <row r="112" spans="1:8" x14ac:dyDescent="0.25">
      <c r="A112" s="2">
        <v>111</v>
      </c>
      <c r="B112" s="3">
        <v>44672</v>
      </c>
      <c r="C112" s="2" t="s">
        <v>14</v>
      </c>
      <c r="D112" s="2" t="s">
        <v>9</v>
      </c>
      <c r="E112" s="2" t="s">
        <v>15</v>
      </c>
      <c r="F112" s="2">
        <v>8</v>
      </c>
      <c r="G112" s="2">
        <v>2500</v>
      </c>
      <c r="H112" s="2">
        <f t="shared" si="1"/>
        <v>20000</v>
      </c>
    </row>
    <row r="113" spans="1:8" x14ac:dyDescent="0.25">
      <c r="A113" s="2">
        <v>112</v>
      </c>
      <c r="B113" s="3">
        <v>44673</v>
      </c>
      <c r="C113" s="2" t="s">
        <v>16</v>
      </c>
      <c r="D113" s="2" t="s">
        <v>12</v>
      </c>
      <c r="E113" s="2" t="s">
        <v>17</v>
      </c>
      <c r="F113" s="2">
        <v>5</v>
      </c>
      <c r="G113" s="2">
        <v>1000</v>
      </c>
      <c r="H113" s="2">
        <f t="shared" si="1"/>
        <v>5000</v>
      </c>
    </row>
    <row r="114" spans="1:8" x14ac:dyDescent="0.25">
      <c r="A114" s="2">
        <v>113</v>
      </c>
      <c r="B114" s="3">
        <v>44674</v>
      </c>
      <c r="C114" s="2" t="s">
        <v>18</v>
      </c>
      <c r="D114" s="2" t="s">
        <v>9</v>
      </c>
      <c r="E114" s="2" t="s">
        <v>19</v>
      </c>
      <c r="F114" s="2">
        <v>9</v>
      </c>
      <c r="G114" s="2">
        <v>250</v>
      </c>
      <c r="H114" s="2">
        <f t="shared" si="1"/>
        <v>2250</v>
      </c>
    </row>
    <row r="115" spans="1:8" x14ac:dyDescent="0.25">
      <c r="A115" s="2">
        <v>114</v>
      </c>
      <c r="B115" s="3">
        <v>44675</v>
      </c>
      <c r="C115" s="2" t="s">
        <v>20</v>
      </c>
      <c r="D115" s="2" t="s">
        <v>9</v>
      </c>
      <c r="E115" s="2" t="s">
        <v>21</v>
      </c>
      <c r="F115" s="2">
        <v>6</v>
      </c>
      <c r="G115" s="2">
        <v>300</v>
      </c>
      <c r="H115" s="2">
        <f t="shared" si="1"/>
        <v>1800</v>
      </c>
    </row>
    <row r="116" spans="1:8" x14ac:dyDescent="0.25">
      <c r="A116" s="2">
        <v>115</v>
      </c>
      <c r="B116" s="3">
        <v>44676</v>
      </c>
      <c r="C116" s="2" t="s">
        <v>8</v>
      </c>
      <c r="D116" s="2" t="s">
        <v>9</v>
      </c>
      <c r="E116" s="2" t="s">
        <v>10</v>
      </c>
      <c r="F116" s="2">
        <v>3</v>
      </c>
      <c r="G116" s="2">
        <v>210</v>
      </c>
      <c r="H116" s="2">
        <f t="shared" si="1"/>
        <v>630</v>
      </c>
    </row>
    <row r="117" spans="1:8" x14ac:dyDescent="0.25">
      <c r="A117" s="2">
        <v>116</v>
      </c>
      <c r="B117" s="3">
        <v>44677</v>
      </c>
      <c r="C117" s="2" t="s">
        <v>11</v>
      </c>
      <c r="D117" s="2" t="s">
        <v>12</v>
      </c>
      <c r="E117" s="2" t="s">
        <v>13</v>
      </c>
      <c r="F117" s="2">
        <v>3</v>
      </c>
      <c r="G117" s="2">
        <v>2000</v>
      </c>
      <c r="H117" s="2">
        <f t="shared" si="1"/>
        <v>6000</v>
      </c>
    </row>
    <row r="118" spans="1:8" x14ac:dyDescent="0.25">
      <c r="A118" s="2">
        <v>117</v>
      </c>
      <c r="B118" s="3">
        <v>44678</v>
      </c>
      <c r="C118" s="2" t="s">
        <v>14</v>
      </c>
      <c r="D118" s="2" t="s">
        <v>9</v>
      </c>
      <c r="E118" s="2" t="s">
        <v>15</v>
      </c>
      <c r="F118" s="2">
        <v>5</v>
      </c>
      <c r="G118" s="2">
        <v>2500</v>
      </c>
      <c r="H118" s="2">
        <f t="shared" si="1"/>
        <v>12500</v>
      </c>
    </row>
    <row r="119" spans="1:8" x14ac:dyDescent="0.25">
      <c r="A119" s="2">
        <v>118</v>
      </c>
      <c r="B119" s="3">
        <v>44679</v>
      </c>
      <c r="C119" s="2" t="s">
        <v>16</v>
      </c>
      <c r="D119" s="2" t="s">
        <v>12</v>
      </c>
      <c r="E119" s="2" t="s">
        <v>17</v>
      </c>
      <c r="F119" s="2">
        <v>6</v>
      </c>
      <c r="G119" s="2">
        <v>1000</v>
      </c>
      <c r="H119" s="2">
        <f t="shared" si="1"/>
        <v>6000</v>
      </c>
    </row>
    <row r="120" spans="1:8" x14ac:dyDescent="0.25">
      <c r="A120" s="2">
        <v>119</v>
      </c>
      <c r="B120" s="3">
        <v>44680</v>
      </c>
      <c r="C120" s="2" t="s">
        <v>18</v>
      </c>
      <c r="D120" s="2" t="s">
        <v>9</v>
      </c>
      <c r="E120" s="2" t="s">
        <v>19</v>
      </c>
      <c r="F120" s="2">
        <v>4</v>
      </c>
      <c r="G120" s="2">
        <v>250</v>
      </c>
      <c r="H120" s="2">
        <f t="shared" si="1"/>
        <v>1000</v>
      </c>
    </row>
    <row r="121" spans="1:8" x14ac:dyDescent="0.25">
      <c r="A121" s="2">
        <v>120</v>
      </c>
      <c r="B121" s="3">
        <v>44681</v>
      </c>
      <c r="C121" s="2" t="s">
        <v>20</v>
      </c>
      <c r="D121" s="2" t="s">
        <v>9</v>
      </c>
      <c r="E121" s="2" t="s">
        <v>21</v>
      </c>
      <c r="F121" s="2">
        <v>3</v>
      </c>
      <c r="G121" s="2">
        <v>300</v>
      </c>
      <c r="H121" s="2">
        <f t="shared" si="1"/>
        <v>900</v>
      </c>
    </row>
    <row r="122" spans="1:8" x14ac:dyDescent="0.25">
      <c r="A122" s="2">
        <v>121</v>
      </c>
      <c r="B122" s="3">
        <v>44682</v>
      </c>
      <c r="C122" s="2" t="s">
        <v>8</v>
      </c>
      <c r="D122" s="2" t="s">
        <v>9</v>
      </c>
      <c r="E122" s="2" t="s">
        <v>10</v>
      </c>
      <c r="F122" s="2">
        <v>3</v>
      </c>
      <c r="G122" s="2">
        <v>210</v>
      </c>
      <c r="H122" s="2">
        <f t="shared" si="1"/>
        <v>630</v>
      </c>
    </row>
    <row r="123" spans="1:8" x14ac:dyDescent="0.25">
      <c r="A123" s="2">
        <v>122</v>
      </c>
      <c r="B123" s="3">
        <v>44683</v>
      </c>
      <c r="C123" s="2" t="s">
        <v>11</v>
      </c>
      <c r="D123" s="2" t="s">
        <v>12</v>
      </c>
      <c r="E123" s="2" t="s">
        <v>13</v>
      </c>
      <c r="F123" s="2">
        <v>8</v>
      </c>
      <c r="G123" s="2">
        <v>2000</v>
      </c>
      <c r="H123" s="2">
        <f t="shared" si="1"/>
        <v>16000</v>
      </c>
    </row>
    <row r="124" spans="1:8" x14ac:dyDescent="0.25">
      <c r="A124" s="2">
        <v>123</v>
      </c>
      <c r="B124" s="3">
        <v>44684</v>
      </c>
      <c r="C124" s="2" t="s">
        <v>14</v>
      </c>
      <c r="D124" s="2" t="s">
        <v>9</v>
      </c>
      <c r="E124" s="2" t="s">
        <v>15</v>
      </c>
      <c r="F124" s="2">
        <v>8</v>
      </c>
      <c r="G124" s="2">
        <v>2500</v>
      </c>
      <c r="H124" s="2">
        <f t="shared" si="1"/>
        <v>20000</v>
      </c>
    </row>
    <row r="125" spans="1:8" x14ac:dyDescent="0.25">
      <c r="A125" s="2">
        <v>124</v>
      </c>
      <c r="B125" s="3">
        <v>44685</v>
      </c>
      <c r="C125" s="2" t="s">
        <v>16</v>
      </c>
      <c r="D125" s="2" t="s">
        <v>12</v>
      </c>
      <c r="E125" s="2" t="s">
        <v>17</v>
      </c>
      <c r="F125" s="2">
        <v>9</v>
      </c>
      <c r="G125" s="2">
        <v>1000</v>
      </c>
      <c r="H125" s="2">
        <f t="shared" si="1"/>
        <v>9000</v>
      </c>
    </row>
    <row r="126" spans="1:8" x14ac:dyDescent="0.25">
      <c r="A126" s="2">
        <v>125</v>
      </c>
      <c r="B126" s="3">
        <v>44686</v>
      </c>
      <c r="C126" s="2" t="s">
        <v>18</v>
      </c>
      <c r="D126" s="2" t="s">
        <v>9</v>
      </c>
      <c r="E126" s="2" t="s">
        <v>19</v>
      </c>
      <c r="F126" s="2">
        <v>5</v>
      </c>
      <c r="G126" s="2">
        <v>250</v>
      </c>
      <c r="H126" s="2">
        <f t="shared" si="1"/>
        <v>1250</v>
      </c>
    </row>
    <row r="127" spans="1:8" x14ac:dyDescent="0.25">
      <c r="A127" s="2">
        <v>126</v>
      </c>
      <c r="B127" s="3">
        <v>44687</v>
      </c>
      <c r="C127" s="2" t="s">
        <v>20</v>
      </c>
      <c r="D127" s="2" t="s">
        <v>9</v>
      </c>
      <c r="E127" s="2" t="s">
        <v>21</v>
      </c>
      <c r="F127" s="2">
        <v>5</v>
      </c>
      <c r="G127" s="2">
        <v>300</v>
      </c>
      <c r="H127" s="2">
        <f t="shared" si="1"/>
        <v>1500</v>
      </c>
    </row>
    <row r="128" spans="1:8" x14ac:dyDescent="0.25">
      <c r="A128" s="2">
        <v>127</v>
      </c>
      <c r="B128" s="3">
        <v>44688</v>
      </c>
      <c r="C128" s="2" t="s">
        <v>8</v>
      </c>
      <c r="D128" s="2" t="s">
        <v>9</v>
      </c>
      <c r="E128" s="2" t="s">
        <v>10</v>
      </c>
      <c r="F128" s="2">
        <v>5</v>
      </c>
      <c r="G128" s="2">
        <v>210</v>
      </c>
      <c r="H128" s="2">
        <f t="shared" si="1"/>
        <v>1050</v>
      </c>
    </row>
    <row r="129" spans="1:8" x14ac:dyDescent="0.25">
      <c r="A129" s="2">
        <v>128</v>
      </c>
      <c r="B129" s="3">
        <v>44689</v>
      </c>
      <c r="C129" s="2" t="s">
        <v>11</v>
      </c>
      <c r="D129" s="2" t="s">
        <v>12</v>
      </c>
      <c r="E129" s="2" t="s">
        <v>13</v>
      </c>
      <c r="F129" s="2">
        <v>3</v>
      </c>
      <c r="G129" s="2">
        <v>2000</v>
      </c>
      <c r="H129" s="2">
        <f t="shared" si="1"/>
        <v>6000</v>
      </c>
    </row>
    <row r="130" spans="1:8" x14ac:dyDescent="0.25">
      <c r="A130" s="2">
        <v>129</v>
      </c>
      <c r="B130" s="3">
        <v>44690</v>
      </c>
      <c r="C130" s="2" t="s">
        <v>14</v>
      </c>
      <c r="D130" s="2" t="s">
        <v>9</v>
      </c>
      <c r="E130" s="2" t="s">
        <v>15</v>
      </c>
      <c r="F130" s="2">
        <v>7</v>
      </c>
      <c r="G130" s="2">
        <v>2500</v>
      </c>
      <c r="H130" s="2">
        <f t="shared" si="1"/>
        <v>17500</v>
      </c>
    </row>
    <row r="131" spans="1:8" x14ac:dyDescent="0.25">
      <c r="A131" s="2">
        <v>130</v>
      </c>
      <c r="B131" s="3">
        <v>44691</v>
      </c>
      <c r="C131" s="2" t="s">
        <v>16</v>
      </c>
      <c r="D131" s="2" t="s">
        <v>12</v>
      </c>
      <c r="E131" s="2" t="s">
        <v>17</v>
      </c>
      <c r="F131" s="2">
        <v>4</v>
      </c>
      <c r="G131" s="2">
        <v>1000</v>
      </c>
      <c r="H131" s="2">
        <f t="shared" ref="H131:H194" si="2">G131*F131</f>
        <v>4000</v>
      </c>
    </row>
    <row r="132" spans="1:8" x14ac:dyDescent="0.25">
      <c r="A132" s="2">
        <v>131</v>
      </c>
      <c r="B132" s="3">
        <v>44692</v>
      </c>
      <c r="C132" s="2" t="s">
        <v>18</v>
      </c>
      <c r="D132" s="2" t="s">
        <v>9</v>
      </c>
      <c r="E132" s="2" t="s">
        <v>19</v>
      </c>
      <c r="F132" s="2">
        <v>4</v>
      </c>
      <c r="G132" s="2">
        <v>250</v>
      </c>
      <c r="H132" s="2">
        <f t="shared" si="2"/>
        <v>1000</v>
      </c>
    </row>
    <row r="133" spans="1:8" x14ac:dyDescent="0.25">
      <c r="A133" s="2">
        <v>132</v>
      </c>
      <c r="B133" s="3">
        <v>44693</v>
      </c>
      <c r="C133" s="2" t="s">
        <v>20</v>
      </c>
      <c r="D133" s="2" t="s">
        <v>9</v>
      </c>
      <c r="E133" s="2" t="s">
        <v>21</v>
      </c>
      <c r="F133" s="2">
        <v>8</v>
      </c>
      <c r="G133" s="2">
        <v>300</v>
      </c>
      <c r="H133" s="2">
        <f t="shared" si="2"/>
        <v>2400</v>
      </c>
    </row>
    <row r="134" spans="1:8" x14ac:dyDescent="0.25">
      <c r="A134" s="2">
        <v>133</v>
      </c>
      <c r="B134" s="3">
        <v>44694</v>
      </c>
      <c r="C134" s="2" t="s">
        <v>8</v>
      </c>
      <c r="D134" s="2" t="s">
        <v>9</v>
      </c>
      <c r="E134" s="2" t="s">
        <v>10</v>
      </c>
      <c r="F134" s="2">
        <v>4</v>
      </c>
      <c r="G134" s="2">
        <v>210</v>
      </c>
      <c r="H134" s="2">
        <f t="shared" si="2"/>
        <v>840</v>
      </c>
    </row>
    <row r="135" spans="1:8" x14ac:dyDescent="0.25">
      <c r="A135" s="2">
        <v>134</v>
      </c>
      <c r="B135" s="3">
        <v>44695</v>
      </c>
      <c r="C135" s="2" t="s">
        <v>11</v>
      </c>
      <c r="D135" s="2" t="s">
        <v>12</v>
      </c>
      <c r="E135" s="2" t="s">
        <v>13</v>
      </c>
      <c r="F135" s="2">
        <v>6</v>
      </c>
      <c r="G135" s="2">
        <v>2000</v>
      </c>
      <c r="H135" s="2">
        <f t="shared" si="2"/>
        <v>12000</v>
      </c>
    </row>
    <row r="136" spans="1:8" x14ac:dyDescent="0.25">
      <c r="A136" s="2">
        <v>135</v>
      </c>
      <c r="B136" s="3">
        <v>44696</v>
      </c>
      <c r="C136" s="2" t="s">
        <v>14</v>
      </c>
      <c r="D136" s="2" t="s">
        <v>9</v>
      </c>
      <c r="E136" s="2" t="s">
        <v>15</v>
      </c>
      <c r="F136" s="2">
        <v>5</v>
      </c>
      <c r="G136" s="2">
        <v>2500</v>
      </c>
      <c r="H136" s="2">
        <f t="shared" si="2"/>
        <v>12500</v>
      </c>
    </row>
    <row r="137" spans="1:8" x14ac:dyDescent="0.25">
      <c r="A137" s="2">
        <v>136</v>
      </c>
      <c r="B137" s="3">
        <v>44697</v>
      </c>
      <c r="C137" s="2" t="s">
        <v>16</v>
      </c>
      <c r="D137" s="2" t="s">
        <v>12</v>
      </c>
      <c r="E137" s="2" t="s">
        <v>17</v>
      </c>
      <c r="F137" s="2">
        <v>6</v>
      </c>
      <c r="G137" s="2">
        <v>1000</v>
      </c>
      <c r="H137" s="2">
        <f t="shared" si="2"/>
        <v>6000</v>
      </c>
    </row>
    <row r="138" spans="1:8" x14ac:dyDescent="0.25">
      <c r="A138" s="2">
        <v>137</v>
      </c>
      <c r="B138" s="3">
        <v>44698</v>
      </c>
      <c r="C138" s="2" t="s">
        <v>18</v>
      </c>
      <c r="D138" s="2" t="s">
        <v>9</v>
      </c>
      <c r="E138" s="2" t="s">
        <v>19</v>
      </c>
      <c r="F138" s="2">
        <v>6</v>
      </c>
      <c r="G138" s="2">
        <v>250</v>
      </c>
      <c r="H138" s="2">
        <f t="shared" si="2"/>
        <v>1500</v>
      </c>
    </row>
    <row r="139" spans="1:8" x14ac:dyDescent="0.25">
      <c r="A139" s="2">
        <v>138</v>
      </c>
      <c r="B139" s="3">
        <v>44699</v>
      </c>
      <c r="C139" s="2" t="s">
        <v>20</v>
      </c>
      <c r="D139" s="2" t="s">
        <v>9</v>
      </c>
      <c r="E139" s="2" t="s">
        <v>21</v>
      </c>
      <c r="F139" s="2">
        <v>7</v>
      </c>
      <c r="G139" s="2">
        <v>300</v>
      </c>
      <c r="H139" s="2">
        <f t="shared" si="2"/>
        <v>2100</v>
      </c>
    </row>
    <row r="140" spans="1:8" x14ac:dyDescent="0.25">
      <c r="A140" s="2">
        <v>139</v>
      </c>
      <c r="B140" s="3">
        <v>44700</v>
      </c>
      <c r="C140" s="2" t="s">
        <v>8</v>
      </c>
      <c r="D140" s="2" t="s">
        <v>9</v>
      </c>
      <c r="E140" s="2" t="s">
        <v>10</v>
      </c>
      <c r="F140" s="2">
        <v>3</v>
      </c>
      <c r="G140" s="2">
        <v>210</v>
      </c>
      <c r="H140" s="2">
        <f t="shared" si="2"/>
        <v>630</v>
      </c>
    </row>
    <row r="141" spans="1:8" x14ac:dyDescent="0.25">
      <c r="A141" s="2">
        <v>140</v>
      </c>
      <c r="B141" s="3">
        <v>44701</v>
      </c>
      <c r="C141" s="2" t="s">
        <v>11</v>
      </c>
      <c r="D141" s="2" t="s">
        <v>12</v>
      </c>
      <c r="E141" s="2" t="s">
        <v>13</v>
      </c>
      <c r="F141" s="2">
        <v>4</v>
      </c>
      <c r="G141" s="2">
        <v>2000</v>
      </c>
      <c r="H141" s="2">
        <f t="shared" si="2"/>
        <v>8000</v>
      </c>
    </row>
    <row r="142" spans="1:8" x14ac:dyDescent="0.25">
      <c r="A142" s="2">
        <v>141</v>
      </c>
      <c r="B142" s="3">
        <v>44702</v>
      </c>
      <c r="C142" s="2" t="s">
        <v>14</v>
      </c>
      <c r="D142" s="2" t="s">
        <v>9</v>
      </c>
      <c r="E142" s="2" t="s">
        <v>15</v>
      </c>
      <c r="F142" s="2">
        <v>6</v>
      </c>
      <c r="G142" s="2">
        <v>2500</v>
      </c>
      <c r="H142" s="2">
        <f t="shared" si="2"/>
        <v>15000</v>
      </c>
    </row>
    <row r="143" spans="1:8" x14ac:dyDescent="0.25">
      <c r="A143" s="2">
        <v>142</v>
      </c>
      <c r="B143" s="3">
        <v>44703</v>
      </c>
      <c r="C143" s="2" t="s">
        <v>16</v>
      </c>
      <c r="D143" s="2" t="s">
        <v>12</v>
      </c>
      <c r="E143" s="2" t="s">
        <v>17</v>
      </c>
      <c r="F143" s="2">
        <v>8</v>
      </c>
      <c r="G143" s="2">
        <v>1000</v>
      </c>
      <c r="H143" s="2">
        <f t="shared" si="2"/>
        <v>8000</v>
      </c>
    </row>
    <row r="144" spans="1:8" x14ac:dyDescent="0.25">
      <c r="A144" s="2">
        <v>143</v>
      </c>
      <c r="B144" s="3">
        <v>44704</v>
      </c>
      <c r="C144" s="2" t="s">
        <v>18</v>
      </c>
      <c r="D144" s="2" t="s">
        <v>9</v>
      </c>
      <c r="E144" s="2" t="s">
        <v>19</v>
      </c>
      <c r="F144" s="2">
        <v>6</v>
      </c>
      <c r="G144" s="2">
        <v>250</v>
      </c>
      <c r="H144" s="2">
        <f t="shared" si="2"/>
        <v>1500</v>
      </c>
    </row>
    <row r="145" spans="1:8" x14ac:dyDescent="0.25">
      <c r="A145" s="2">
        <v>144</v>
      </c>
      <c r="B145" s="3">
        <v>44705</v>
      </c>
      <c r="C145" s="2" t="s">
        <v>20</v>
      </c>
      <c r="D145" s="2" t="s">
        <v>9</v>
      </c>
      <c r="E145" s="2" t="s">
        <v>21</v>
      </c>
      <c r="F145" s="2">
        <v>4</v>
      </c>
      <c r="G145" s="2">
        <v>300</v>
      </c>
      <c r="H145" s="2">
        <f t="shared" si="2"/>
        <v>1200</v>
      </c>
    </row>
    <row r="146" spans="1:8" x14ac:dyDescent="0.25">
      <c r="A146" s="2">
        <v>145</v>
      </c>
      <c r="B146" s="3">
        <v>44706</v>
      </c>
      <c r="C146" s="2" t="s">
        <v>8</v>
      </c>
      <c r="D146" s="2" t="s">
        <v>9</v>
      </c>
      <c r="E146" s="2" t="s">
        <v>10</v>
      </c>
      <c r="F146" s="2">
        <v>9</v>
      </c>
      <c r="G146" s="2">
        <v>210</v>
      </c>
      <c r="H146" s="2">
        <f t="shared" si="2"/>
        <v>1890</v>
      </c>
    </row>
    <row r="147" spans="1:8" x14ac:dyDescent="0.25">
      <c r="A147" s="2">
        <v>146</v>
      </c>
      <c r="B147" s="3">
        <v>44707</v>
      </c>
      <c r="C147" s="2" t="s">
        <v>11</v>
      </c>
      <c r="D147" s="2" t="s">
        <v>12</v>
      </c>
      <c r="E147" s="2" t="s">
        <v>13</v>
      </c>
      <c r="F147" s="2">
        <v>3</v>
      </c>
      <c r="G147" s="2">
        <v>2000</v>
      </c>
      <c r="H147" s="2">
        <f t="shared" si="2"/>
        <v>6000</v>
      </c>
    </row>
    <row r="148" spans="1:8" x14ac:dyDescent="0.25">
      <c r="A148" s="2">
        <v>147</v>
      </c>
      <c r="B148" s="3">
        <v>44708</v>
      </c>
      <c r="C148" s="2" t="s">
        <v>14</v>
      </c>
      <c r="D148" s="2" t="s">
        <v>9</v>
      </c>
      <c r="E148" s="2" t="s">
        <v>15</v>
      </c>
      <c r="F148" s="2">
        <v>7</v>
      </c>
      <c r="G148" s="2">
        <v>2500</v>
      </c>
      <c r="H148" s="2">
        <f t="shared" si="2"/>
        <v>17500</v>
      </c>
    </row>
    <row r="149" spans="1:8" x14ac:dyDescent="0.25">
      <c r="A149" s="2">
        <v>148</v>
      </c>
      <c r="B149" s="3">
        <v>44709</v>
      </c>
      <c r="C149" s="2" t="s">
        <v>16</v>
      </c>
      <c r="D149" s="2" t="s">
        <v>12</v>
      </c>
      <c r="E149" s="2" t="s">
        <v>17</v>
      </c>
      <c r="F149" s="2">
        <v>6</v>
      </c>
      <c r="G149" s="2">
        <v>1000</v>
      </c>
      <c r="H149" s="2">
        <f t="shared" si="2"/>
        <v>6000</v>
      </c>
    </row>
    <row r="150" spans="1:8" x14ac:dyDescent="0.25">
      <c r="A150" s="2">
        <v>149</v>
      </c>
      <c r="B150" s="3">
        <v>44710</v>
      </c>
      <c r="C150" s="2" t="s">
        <v>18</v>
      </c>
      <c r="D150" s="2" t="s">
        <v>9</v>
      </c>
      <c r="E150" s="2" t="s">
        <v>19</v>
      </c>
      <c r="F150" s="2">
        <v>4</v>
      </c>
      <c r="G150" s="2">
        <v>250</v>
      </c>
      <c r="H150" s="2">
        <f t="shared" si="2"/>
        <v>1000</v>
      </c>
    </row>
    <row r="151" spans="1:8" x14ac:dyDescent="0.25">
      <c r="A151" s="2">
        <v>150</v>
      </c>
      <c r="B151" s="3">
        <v>44711</v>
      </c>
      <c r="C151" s="2" t="s">
        <v>20</v>
      </c>
      <c r="D151" s="2" t="s">
        <v>9</v>
      </c>
      <c r="E151" s="2" t="s">
        <v>21</v>
      </c>
      <c r="F151" s="2">
        <v>3</v>
      </c>
      <c r="G151" s="2">
        <v>300</v>
      </c>
      <c r="H151" s="2">
        <f t="shared" si="2"/>
        <v>900</v>
      </c>
    </row>
    <row r="152" spans="1:8" x14ac:dyDescent="0.25">
      <c r="A152" s="2">
        <v>151</v>
      </c>
      <c r="B152" s="3">
        <v>44712</v>
      </c>
      <c r="C152" s="2" t="s">
        <v>8</v>
      </c>
      <c r="D152" s="2" t="s">
        <v>9</v>
      </c>
      <c r="E152" s="2" t="s">
        <v>10</v>
      </c>
      <c r="F152" s="2">
        <v>5</v>
      </c>
      <c r="G152" s="2">
        <v>210</v>
      </c>
      <c r="H152" s="2">
        <f t="shared" si="2"/>
        <v>1050</v>
      </c>
    </row>
    <row r="153" spans="1:8" x14ac:dyDescent="0.25">
      <c r="A153" s="2">
        <v>152</v>
      </c>
      <c r="B153" s="3">
        <v>44713</v>
      </c>
      <c r="C153" s="2" t="s">
        <v>11</v>
      </c>
      <c r="D153" s="2" t="s">
        <v>12</v>
      </c>
      <c r="E153" s="2" t="s">
        <v>13</v>
      </c>
      <c r="F153" s="2">
        <v>7</v>
      </c>
      <c r="G153" s="2">
        <v>2000</v>
      </c>
      <c r="H153" s="2">
        <f t="shared" si="2"/>
        <v>14000</v>
      </c>
    </row>
    <row r="154" spans="1:8" x14ac:dyDescent="0.25">
      <c r="A154" s="2">
        <v>153</v>
      </c>
      <c r="B154" s="3">
        <v>44714</v>
      </c>
      <c r="C154" s="2" t="s">
        <v>14</v>
      </c>
      <c r="D154" s="2" t="s">
        <v>9</v>
      </c>
      <c r="E154" s="2" t="s">
        <v>15</v>
      </c>
      <c r="F154" s="2">
        <v>4</v>
      </c>
      <c r="G154" s="2">
        <v>2500</v>
      </c>
      <c r="H154" s="2">
        <f t="shared" si="2"/>
        <v>10000</v>
      </c>
    </row>
    <row r="155" spans="1:8" x14ac:dyDescent="0.25">
      <c r="A155" s="2">
        <v>154</v>
      </c>
      <c r="B155" s="3">
        <v>44715</v>
      </c>
      <c r="C155" s="2" t="s">
        <v>16</v>
      </c>
      <c r="D155" s="2" t="s">
        <v>12</v>
      </c>
      <c r="E155" s="2" t="s">
        <v>17</v>
      </c>
      <c r="F155" s="2">
        <v>5</v>
      </c>
      <c r="G155" s="2">
        <v>1000</v>
      </c>
      <c r="H155" s="2">
        <f t="shared" si="2"/>
        <v>5000</v>
      </c>
    </row>
    <row r="156" spans="1:8" x14ac:dyDescent="0.25">
      <c r="A156" s="2">
        <v>155</v>
      </c>
      <c r="B156" s="3">
        <v>44716</v>
      </c>
      <c r="C156" s="2" t="s">
        <v>18</v>
      </c>
      <c r="D156" s="2" t="s">
        <v>9</v>
      </c>
      <c r="E156" s="2" t="s">
        <v>19</v>
      </c>
      <c r="F156" s="2">
        <v>6</v>
      </c>
      <c r="G156" s="2">
        <v>250</v>
      </c>
      <c r="H156" s="2">
        <f t="shared" si="2"/>
        <v>1500</v>
      </c>
    </row>
    <row r="157" spans="1:8" x14ac:dyDescent="0.25">
      <c r="A157" s="2">
        <v>156</v>
      </c>
      <c r="B157" s="3">
        <v>44717</v>
      </c>
      <c r="C157" s="2" t="s">
        <v>20</v>
      </c>
      <c r="D157" s="2" t="s">
        <v>9</v>
      </c>
      <c r="E157" s="2" t="s">
        <v>21</v>
      </c>
      <c r="F157" s="2">
        <v>9</v>
      </c>
      <c r="G157" s="2">
        <v>300</v>
      </c>
      <c r="H157" s="2">
        <f t="shared" si="2"/>
        <v>2700</v>
      </c>
    </row>
    <row r="158" spans="1:8" x14ac:dyDescent="0.25">
      <c r="A158" s="2">
        <v>157</v>
      </c>
      <c r="B158" s="3">
        <v>44718</v>
      </c>
      <c r="C158" s="2" t="s">
        <v>8</v>
      </c>
      <c r="D158" s="2" t="s">
        <v>9</v>
      </c>
      <c r="E158" s="2" t="s">
        <v>10</v>
      </c>
      <c r="F158" s="2">
        <v>6</v>
      </c>
      <c r="G158" s="2">
        <v>210</v>
      </c>
      <c r="H158" s="2">
        <f t="shared" si="2"/>
        <v>1260</v>
      </c>
    </row>
    <row r="159" spans="1:8" x14ac:dyDescent="0.25">
      <c r="A159" s="2">
        <v>158</v>
      </c>
      <c r="B159" s="3">
        <v>44719</v>
      </c>
      <c r="C159" s="2" t="s">
        <v>11</v>
      </c>
      <c r="D159" s="2" t="s">
        <v>12</v>
      </c>
      <c r="E159" s="2" t="s">
        <v>13</v>
      </c>
      <c r="F159" s="2">
        <v>9</v>
      </c>
      <c r="G159" s="2">
        <v>2000</v>
      </c>
      <c r="H159" s="2">
        <f t="shared" si="2"/>
        <v>18000</v>
      </c>
    </row>
    <row r="160" spans="1:8" x14ac:dyDescent="0.25">
      <c r="A160" s="2">
        <v>159</v>
      </c>
      <c r="B160" s="3">
        <v>44720</v>
      </c>
      <c r="C160" s="2" t="s">
        <v>14</v>
      </c>
      <c r="D160" s="2" t="s">
        <v>9</v>
      </c>
      <c r="E160" s="2" t="s">
        <v>15</v>
      </c>
      <c r="F160" s="2">
        <v>8</v>
      </c>
      <c r="G160" s="2">
        <v>2500</v>
      </c>
      <c r="H160" s="2">
        <f t="shared" si="2"/>
        <v>20000</v>
      </c>
    </row>
    <row r="161" spans="1:8" x14ac:dyDescent="0.25">
      <c r="A161" s="2">
        <v>160</v>
      </c>
      <c r="B161" s="3">
        <v>44721</v>
      </c>
      <c r="C161" s="2" t="s">
        <v>16</v>
      </c>
      <c r="D161" s="2" t="s">
        <v>12</v>
      </c>
      <c r="E161" s="2" t="s">
        <v>17</v>
      </c>
      <c r="F161" s="2">
        <v>7</v>
      </c>
      <c r="G161" s="2">
        <v>1000</v>
      </c>
      <c r="H161" s="2">
        <f t="shared" si="2"/>
        <v>7000</v>
      </c>
    </row>
    <row r="162" spans="1:8" x14ac:dyDescent="0.25">
      <c r="A162" s="2">
        <v>161</v>
      </c>
      <c r="B162" s="3">
        <v>44722</v>
      </c>
      <c r="C162" s="2" t="s">
        <v>18</v>
      </c>
      <c r="D162" s="2" t="s">
        <v>9</v>
      </c>
      <c r="E162" s="2" t="s">
        <v>19</v>
      </c>
      <c r="F162" s="2">
        <v>8</v>
      </c>
      <c r="G162" s="2">
        <v>250</v>
      </c>
      <c r="H162" s="2">
        <f t="shared" si="2"/>
        <v>2000</v>
      </c>
    </row>
    <row r="163" spans="1:8" x14ac:dyDescent="0.25">
      <c r="A163" s="2">
        <v>162</v>
      </c>
      <c r="B163" s="3">
        <v>44723</v>
      </c>
      <c r="C163" s="2" t="s">
        <v>20</v>
      </c>
      <c r="D163" s="2" t="s">
        <v>9</v>
      </c>
      <c r="E163" s="2" t="s">
        <v>21</v>
      </c>
      <c r="F163" s="2">
        <v>6</v>
      </c>
      <c r="G163" s="2">
        <v>300</v>
      </c>
      <c r="H163" s="2">
        <f t="shared" si="2"/>
        <v>1800</v>
      </c>
    </row>
    <row r="164" spans="1:8" x14ac:dyDescent="0.25">
      <c r="A164" s="2">
        <v>163</v>
      </c>
      <c r="B164" s="3">
        <v>44724</v>
      </c>
      <c r="C164" s="2" t="s">
        <v>8</v>
      </c>
      <c r="D164" s="2" t="s">
        <v>9</v>
      </c>
      <c r="E164" s="2" t="s">
        <v>10</v>
      </c>
      <c r="F164" s="2">
        <v>5</v>
      </c>
      <c r="G164" s="2">
        <v>210</v>
      </c>
      <c r="H164" s="2">
        <f t="shared" si="2"/>
        <v>1050</v>
      </c>
    </row>
    <row r="165" spans="1:8" x14ac:dyDescent="0.25">
      <c r="A165" s="2">
        <v>164</v>
      </c>
      <c r="B165" s="3">
        <v>44725</v>
      </c>
      <c r="C165" s="2" t="s">
        <v>11</v>
      </c>
      <c r="D165" s="2" t="s">
        <v>12</v>
      </c>
      <c r="E165" s="2" t="s">
        <v>13</v>
      </c>
      <c r="F165" s="2">
        <v>3</v>
      </c>
      <c r="G165" s="2">
        <v>2000</v>
      </c>
      <c r="H165" s="2">
        <f t="shared" si="2"/>
        <v>6000</v>
      </c>
    </row>
    <row r="166" spans="1:8" x14ac:dyDescent="0.25">
      <c r="A166" s="2">
        <v>165</v>
      </c>
      <c r="B166" s="3">
        <v>44726</v>
      </c>
      <c r="C166" s="2" t="s">
        <v>14</v>
      </c>
      <c r="D166" s="2" t="s">
        <v>9</v>
      </c>
      <c r="E166" s="2" t="s">
        <v>15</v>
      </c>
      <c r="F166" s="2">
        <v>9</v>
      </c>
      <c r="G166" s="2">
        <v>2500</v>
      </c>
      <c r="H166" s="2">
        <f t="shared" si="2"/>
        <v>22500</v>
      </c>
    </row>
    <row r="167" spans="1:8" x14ac:dyDescent="0.25">
      <c r="A167" s="2">
        <v>166</v>
      </c>
      <c r="B167" s="3">
        <v>44727</v>
      </c>
      <c r="C167" s="2" t="s">
        <v>16</v>
      </c>
      <c r="D167" s="2" t="s">
        <v>12</v>
      </c>
      <c r="E167" s="2" t="s">
        <v>17</v>
      </c>
      <c r="F167" s="2">
        <v>6</v>
      </c>
      <c r="G167" s="2">
        <v>1000</v>
      </c>
      <c r="H167" s="2">
        <f t="shared" si="2"/>
        <v>6000</v>
      </c>
    </row>
    <row r="168" spans="1:8" x14ac:dyDescent="0.25">
      <c r="A168" s="2">
        <v>167</v>
      </c>
      <c r="B168" s="3">
        <v>44728</v>
      </c>
      <c r="C168" s="2" t="s">
        <v>18</v>
      </c>
      <c r="D168" s="2" t="s">
        <v>9</v>
      </c>
      <c r="E168" s="2" t="s">
        <v>19</v>
      </c>
      <c r="F168" s="2">
        <v>3</v>
      </c>
      <c r="G168" s="2">
        <v>250</v>
      </c>
      <c r="H168" s="2">
        <f t="shared" si="2"/>
        <v>750</v>
      </c>
    </row>
    <row r="169" spans="1:8" x14ac:dyDescent="0.25">
      <c r="A169" s="2">
        <v>168</v>
      </c>
      <c r="B169" s="3">
        <v>44729</v>
      </c>
      <c r="C169" s="2" t="s">
        <v>20</v>
      </c>
      <c r="D169" s="2" t="s">
        <v>9</v>
      </c>
      <c r="E169" s="2" t="s">
        <v>21</v>
      </c>
      <c r="F169" s="2">
        <v>7</v>
      </c>
      <c r="G169" s="2">
        <v>300</v>
      </c>
      <c r="H169" s="2">
        <f t="shared" si="2"/>
        <v>2100</v>
      </c>
    </row>
    <row r="170" spans="1:8" x14ac:dyDescent="0.25">
      <c r="A170" s="2">
        <v>169</v>
      </c>
      <c r="B170" s="3">
        <v>44730</v>
      </c>
      <c r="C170" s="2" t="s">
        <v>8</v>
      </c>
      <c r="D170" s="2" t="s">
        <v>9</v>
      </c>
      <c r="E170" s="2" t="s">
        <v>10</v>
      </c>
      <c r="F170" s="2">
        <v>7</v>
      </c>
      <c r="G170" s="2">
        <v>210</v>
      </c>
      <c r="H170" s="2">
        <f t="shared" si="2"/>
        <v>1470</v>
      </c>
    </row>
    <row r="171" spans="1:8" x14ac:dyDescent="0.25">
      <c r="A171" s="2">
        <v>170</v>
      </c>
      <c r="B171" s="3">
        <v>44731</v>
      </c>
      <c r="C171" s="2" t="s">
        <v>11</v>
      </c>
      <c r="D171" s="2" t="s">
        <v>12</v>
      </c>
      <c r="E171" s="2" t="s">
        <v>13</v>
      </c>
      <c r="F171" s="2">
        <v>8</v>
      </c>
      <c r="G171" s="2">
        <v>2000</v>
      </c>
      <c r="H171" s="2">
        <f t="shared" si="2"/>
        <v>16000</v>
      </c>
    </row>
    <row r="172" spans="1:8" x14ac:dyDescent="0.25">
      <c r="A172" s="2">
        <v>171</v>
      </c>
      <c r="B172" s="3">
        <v>44732</v>
      </c>
      <c r="C172" s="2" t="s">
        <v>14</v>
      </c>
      <c r="D172" s="2" t="s">
        <v>9</v>
      </c>
      <c r="E172" s="2" t="s">
        <v>15</v>
      </c>
      <c r="F172" s="2">
        <v>7</v>
      </c>
      <c r="G172" s="2">
        <v>2500</v>
      </c>
      <c r="H172" s="2">
        <f t="shared" si="2"/>
        <v>17500</v>
      </c>
    </row>
    <row r="173" spans="1:8" x14ac:dyDescent="0.25">
      <c r="A173" s="2">
        <v>172</v>
      </c>
      <c r="B173" s="3">
        <v>44733</v>
      </c>
      <c r="C173" s="2" t="s">
        <v>16</v>
      </c>
      <c r="D173" s="2" t="s">
        <v>12</v>
      </c>
      <c r="E173" s="2" t="s">
        <v>17</v>
      </c>
      <c r="F173" s="2">
        <v>6</v>
      </c>
      <c r="G173" s="2">
        <v>1000</v>
      </c>
      <c r="H173" s="2">
        <f t="shared" si="2"/>
        <v>6000</v>
      </c>
    </row>
    <row r="174" spans="1:8" x14ac:dyDescent="0.25">
      <c r="A174" s="2">
        <v>173</v>
      </c>
      <c r="B174" s="3">
        <v>44734</v>
      </c>
      <c r="C174" s="2" t="s">
        <v>18</v>
      </c>
      <c r="D174" s="2" t="s">
        <v>9</v>
      </c>
      <c r="E174" s="2" t="s">
        <v>19</v>
      </c>
      <c r="F174" s="2">
        <v>6</v>
      </c>
      <c r="G174" s="2">
        <v>250</v>
      </c>
      <c r="H174" s="2">
        <f t="shared" si="2"/>
        <v>1500</v>
      </c>
    </row>
    <row r="175" spans="1:8" x14ac:dyDescent="0.25">
      <c r="A175" s="2">
        <v>174</v>
      </c>
      <c r="B175" s="3">
        <v>44735</v>
      </c>
      <c r="C175" s="2" t="s">
        <v>20</v>
      </c>
      <c r="D175" s="2" t="s">
        <v>9</v>
      </c>
      <c r="E175" s="2" t="s">
        <v>21</v>
      </c>
      <c r="F175" s="2">
        <v>9</v>
      </c>
      <c r="G175" s="2">
        <v>300</v>
      </c>
      <c r="H175" s="2">
        <f t="shared" si="2"/>
        <v>2700</v>
      </c>
    </row>
    <row r="176" spans="1:8" x14ac:dyDescent="0.25">
      <c r="A176" s="2">
        <v>175</v>
      </c>
      <c r="B176" s="3">
        <v>44736</v>
      </c>
      <c r="C176" s="2" t="s">
        <v>8</v>
      </c>
      <c r="D176" s="2" t="s">
        <v>9</v>
      </c>
      <c r="E176" s="2" t="s">
        <v>10</v>
      </c>
      <c r="F176" s="2">
        <v>9</v>
      </c>
      <c r="G176" s="2">
        <v>210</v>
      </c>
      <c r="H176" s="2">
        <f t="shared" si="2"/>
        <v>1890</v>
      </c>
    </row>
    <row r="177" spans="1:8" x14ac:dyDescent="0.25">
      <c r="A177" s="2">
        <v>176</v>
      </c>
      <c r="B177" s="3">
        <v>44737</v>
      </c>
      <c r="C177" s="2" t="s">
        <v>11</v>
      </c>
      <c r="D177" s="2" t="s">
        <v>12</v>
      </c>
      <c r="E177" s="2" t="s">
        <v>13</v>
      </c>
      <c r="F177" s="2">
        <v>4</v>
      </c>
      <c r="G177" s="2">
        <v>2000</v>
      </c>
      <c r="H177" s="2">
        <f t="shared" si="2"/>
        <v>8000</v>
      </c>
    </row>
    <row r="178" spans="1:8" x14ac:dyDescent="0.25">
      <c r="A178" s="2">
        <v>177</v>
      </c>
      <c r="B178" s="3">
        <v>44738</v>
      </c>
      <c r="C178" s="2" t="s">
        <v>14</v>
      </c>
      <c r="D178" s="2" t="s">
        <v>9</v>
      </c>
      <c r="E178" s="2" t="s">
        <v>15</v>
      </c>
      <c r="F178" s="2">
        <v>7</v>
      </c>
      <c r="G178" s="2">
        <v>2500</v>
      </c>
      <c r="H178" s="2">
        <f t="shared" si="2"/>
        <v>17500</v>
      </c>
    </row>
    <row r="179" spans="1:8" x14ac:dyDescent="0.25">
      <c r="A179" s="2">
        <v>178</v>
      </c>
      <c r="B179" s="3">
        <v>44739</v>
      </c>
      <c r="C179" s="2" t="s">
        <v>16</v>
      </c>
      <c r="D179" s="2" t="s">
        <v>12</v>
      </c>
      <c r="E179" s="2" t="s">
        <v>17</v>
      </c>
      <c r="F179" s="2">
        <v>5</v>
      </c>
      <c r="G179" s="2">
        <v>1000</v>
      </c>
      <c r="H179" s="2">
        <f t="shared" si="2"/>
        <v>5000</v>
      </c>
    </row>
    <row r="180" spans="1:8" x14ac:dyDescent="0.25">
      <c r="A180" s="2">
        <v>179</v>
      </c>
      <c r="B180" s="3">
        <v>44740</v>
      </c>
      <c r="C180" s="2" t="s">
        <v>18</v>
      </c>
      <c r="D180" s="2" t="s">
        <v>9</v>
      </c>
      <c r="E180" s="2" t="s">
        <v>19</v>
      </c>
      <c r="F180" s="2">
        <v>4</v>
      </c>
      <c r="G180" s="2">
        <v>250</v>
      </c>
      <c r="H180" s="2">
        <f t="shared" si="2"/>
        <v>1000</v>
      </c>
    </row>
    <row r="181" spans="1:8" x14ac:dyDescent="0.25">
      <c r="A181" s="2">
        <v>180</v>
      </c>
      <c r="B181" s="3">
        <v>44741</v>
      </c>
      <c r="C181" s="2" t="s">
        <v>20</v>
      </c>
      <c r="D181" s="2" t="s">
        <v>9</v>
      </c>
      <c r="E181" s="2" t="s">
        <v>21</v>
      </c>
      <c r="F181" s="2">
        <v>7</v>
      </c>
      <c r="G181" s="2">
        <v>300</v>
      </c>
      <c r="H181" s="2">
        <f t="shared" si="2"/>
        <v>2100</v>
      </c>
    </row>
    <row r="182" spans="1:8" x14ac:dyDescent="0.25">
      <c r="A182" s="2">
        <v>181</v>
      </c>
      <c r="B182" s="3">
        <v>44742</v>
      </c>
      <c r="C182" s="2" t="s">
        <v>8</v>
      </c>
      <c r="D182" s="2" t="s">
        <v>9</v>
      </c>
      <c r="E182" s="2" t="s">
        <v>10</v>
      </c>
      <c r="F182" s="2">
        <v>4</v>
      </c>
      <c r="G182" s="2">
        <v>210</v>
      </c>
      <c r="H182" s="2">
        <f t="shared" si="2"/>
        <v>840</v>
      </c>
    </row>
    <row r="183" spans="1:8" x14ac:dyDescent="0.25">
      <c r="A183" s="2">
        <v>182</v>
      </c>
      <c r="B183" s="3">
        <v>44743</v>
      </c>
      <c r="C183" s="2" t="s">
        <v>11</v>
      </c>
      <c r="D183" s="2" t="s">
        <v>12</v>
      </c>
      <c r="E183" s="2" t="s">
        <v>13</v>
      </c>
      <c r="F183" s="2">
        <v>6</v>
      </c>
      <c r="G183" s="2">
        <v>2000</v>
      </c>
      <c r="H183" s="2">
        <f t="shared" si="2"/>
        <v>12000</v>
      </c>
    </row>
    <row r="184" spans="1:8" x14ac:dyDescent="0.25">
      <c r="A184" s="2">
        <v>183</v>
      </c>
      <c r="B184" s="3">
        <v>44744</v>
      </c>
      <c r="C184" s="2" t="s">
        <v>14</v>
      </c>
      <c r="D184" s="2" t="s">
        <v>9</v>
      </c>
      <c r="E184" s="2" t="s">
        <v>15</v>
      </c>
      <c r="F184" s="2">
        <v>8</v>
      </c>
      <c r="G184" s="2">
        <v>2500</v>
      </c>
      <c r="H184" s="2">
        <f t="shared" si="2"/>
        <v>20000</v>
      </c>
    </row>
    <row r="185" spans="1:8" x14ac:dyDescent="0.25">
      <c r="A185" s="2">
        <v>184</v>
      </c>
      <c r="B185" s="3">
        <v>44745</v>
      </c>
      <c r="C185" s="2" t="s">
        <v>16</v>
      </c>
      <c r="D185" s="2" t="s">
        <v>12</v>
      </c>
      <c r="E185" s="2" t="s">
        <v>17</v>
      </c>
      <c r="F185" s="2">
        <v>9</v>
      </c>
      <c r="G185" s="2">
        <v>1000</v>
      </c>
      <c r="H185" s="2">
        <f t="shared" si="2"/>
        <v>9000</v>
      </c>
    </row>
    <row r="186" spans="1:8" x14ac:dyDescent="0.25">
      <c r="A186" s="2">
        <v>185</v>
      </c>
      <c r="B186" s="3">
        <v>44746</v>
      </c>
      <c r="C186" s="2" t="s">
        <v>18</v>
      </c>
      <c r="D186" s="2" t="s">
        <v>9</v>
      </c>
      <c r="E186" s="2" t="s">
        <v>19</v>
      </c>
      <c r="F186" s="2">
        <v>3</v>
      </c>
      <c r="G186" s="2">
        <v>250</v>
      </c>
      <c r="H186" s="2">
        <f t="shared" si="2"/>
        <v>750</v>
      </c>
    </row>
    <row r="187" spans="1:8" x14ac:dyDescent="0.25">
      <c r="A187" s="2">
        <v>186</v>
      </c>
      <c r="B187" s="3">
        <v>44747</v>
      </c>
      <c r="C187" s="2" t="s">
        <v>20</v>
      </c>
      <c r="D187" s="2" t="s">
        <v>9</v>
      </c>
      <c r="E187" s="2" t="s">
        <v>21</v>
      </c>
      <c r="F187" s="2">
        <v>6</v>
      </c>
      <c r="G187" s="2">
        <v>300</v>
      </c>
      <c r="H187" s="2">
        <f t="shared" si="2"/>
        <v>1800</v>
      </c>
    </row>
    <row r="188" spans="1:8" x14ac:dyDescent="0.25">
      <c r="A188" s="2">
        <v>187</v>
      </c>
      <c r="B188" s="3">
        <v>44748</v>
      </c>
      <c r="C188" s="2" t="s">
        <v>8</v>
      </c>
      <c r="D188" s="2" t="s">
        <v>9</v>
      </c>
      <c r="E188" s="2" t="s">
        <v>10</v>
      </c>
      <c r="F188" s="2">
        <v>7</v>
      </c>
      <c r="G188" s="2">
        <v>210</v>
      </c>
      <c r="H188" s="2">
        <f t="shared" si="2"/>
        <v>1470</v>
      </c>
    </row>
    <row r="189" spans="1:8" x14ac:dyDescent="0.25">
      <c r="A189" s="2">
        <v>188</v>
      </c>
      <c r="B189" s="3">
        <v>44749</v>
      </c>
      <c r="C189" s="2" t="s">
        <v>11</v>
      </c>
      <c r="D189" s="2" t="s">
        <v>12</v>
      </c>
      <c r="E189" s="2" t="s">
        <v>13</v>
      </c>
      <c r="F189" s="2">
        <v>8</v>
      </c>
      <c r="G189" s="2">
        <v>2000</v>
      </c>
      <c r="H189" s="2">
        <f t="shared" si="2"/>
        <v>16000</v>
      </c>
    </row>
    <row r="190" spans="1:8" x14ac:dyDescent="0.25">
      <c r="A190" s="2">
        <v>189</v>
      </c>
      <c r="B190" s="3">
        <v>44750</v>
      </c>
      <c r="C190" s="2" t="s">
        <v>14</v>
      </c>
      <c r="D190" s="2" t="s">
        <v>9</v>
      </c>
      <c r="E190" s="2" t="s">
        <v>15</v>
      </c>
      <c r="F190" s="2">
        <v>8</v>
      </c>
      <c r="G190" s="2">
        <v>2500</v>
      </c>
      <c r="H190" s="2">
        <f t="shared" si="2"/>
        <v>20000</v>
      </c>
    </row>
    <row r="191" spans="1:8" x14ac:dyDescent="0.25">
      <c r="A191" s="2">
        <v>190</v>
      </c>
      <c r="B191" s="3">
        <v>44751</v>
      </c>
      <c r="C191" s="2" t="s">
        <v>16</v>
      </c>
      <c r="D191" s="2" t="s">
        <v>12</v>
      </c>
      <c r="E191" s="2" t="s">
        <v>17</v>
      </c>
      <c r="F191" s="2">
        <v>9</v>
      </c>
      <c r="G191" s="2">
        <v>1000</v>
      </c>
      <c r="H191" s="2">
        <f t="shared" si="2"/>
        <v>9000</v>
      </c>
    </row>
    <row r="192" spans="1:8" x14ac:dyDescent="0.25">
      <c r="A192" s="2">
        <v>191</v>
      </c>
      <c r="B192" s="3">
        <v>44752</v>
      </c>
      <c r="C192" s="2" t="s">
        <v>18</v>
      </c>
      <c r="D192" s="2" t="s">
        <v>9</v>
      </c>
      <c r="E192" s="2" t="s">
        <v>19</v>
      </c>
      <c r="F192" s="2">
        <v>7</v>
      </c>
      <c r="G192" s="2">
        <v>250</v>
      </c>
      <c r="H192" s="2">
        <f t="shared" si="2"/>
        <v>1750</v>
      </c>
    </row>
    <row r="193" spans="1:8" x14ac:dyDescent="0.25">
      <c r="A193" s="2">
        <v>192</v>
      </c>
      <c r="B193" s="3">
        <v>44753</v>
      </c>
      <c r="C193" s="2" t="s">
        <v>20</v>
      </c>
      <c r="D193" s="2" t="s">
        <v>9</v>
      </c>
      <c r="E193" s="2" t="s">
        <v>21</v>
      </c>
      <c r="F193" s="2">
        <v>6</v>
      </c>
      <c r="G193" s="2">
        <v>300</v>
      </c>
      <c r="H193" s="2">
        <f t="shared" si="2"/>
        <v>1800</v>
      </c>
    </row>
    <row r="194" spans="1:8" x14ac:dyDescent="0.25">
      <c r="A194" s="2">
        <v>193</v>
      </c>
      <c r="B194" s="3">
        <v>44754</v>
      </c>
      <c r="C194" s="2" t="s">
        <v>8</v>
      </c>
      <c r="D194" s="2" t="s">
        <v>9</v>
      </c>
      <c r="E194" s="2" t="s">
        <v>10</v>
      </c>
      <c r="F194" s="2">
        <v>3</v>
      </c>
      <c r="G194" s="2">
        <v>210</v>
      </c>
      <c r="H194" s="2">
        <f t="shared" si="2"/>
        <v>630</v>
      </c>
    </row>
    <row r="195" spans="1:8" x14ac:dyDescent="0.25">
      <c r="A195" s="2">
        <v>194</v>
      </c>
      <c r="B195" s="3">
        <v>44755</v>
      </c>
      <c r="C195" s="2" t="s">
        <v>11</v>
      </c>
      <c r="D195" s="2" t="s">
        <v>12</v>
      </c>
      <c r="E195" s="2" t="s">
        <v>13</v>
      </c>
      <c r="F195" s="2">
        <v>5</v>
      </c>
      <c r="G195" s="2">
        <v>2000</v>
      </c>
      <c r="H195" s="2">
        <f t="shared" ref="H195:H258" si="3">G195*F195</f>
        <v>10000</v>
      </c>
    </row>
    <row r="196" spans="1:8" x14ac:dyDescent="0.25">
      <c r="A196" s="2">
        <v>195</v>
      </c>
      <c r="B196" s="3">
        <v>44756</v>
      </c>
      <c r="C196" s="2" t="s">
        <v>14</v>
      </c>
      <c r="D196" s="2" t="s">
        <v>9</v>
      </c>
      <c r="E196" s="2" t="s">
        <v>15</v>
      </c>
      <c r="F196" s="2">
        <v>4</v>
      </c>
      <c r="G196" s="2">
        <v>2500</v>
      </c>
      <c r="H196" s="2">
        <f t="shared" si="3"/>
        <v>10000</v>
      </c>
    </row>
    <row r="197" spans="1:8" x14ac:dyDescent="0.25">
      <c r="A197" s="2">
        <v>196</v>
      </c>
      <c r="B197" s="3">
        <v>44757</v>
      </c>
      <c r="C197" s="2" t="s">
        <v>16</v>
      </c>
      <c r="D197" s="2" t="s">
        <v>12</v>
      </c>
      <c r="E197" s="2" t="s">
        <v>17</v>
      </c>
      <c r="F197" s="2">
        <v>9</v>
      </c>
      <c r="G197" s="2">
        <v>1000</v>
      </c>
      <c r="H197" s="2">
        <f t="shared" si="3"/>
        <v>9000</v>
      </c>
    </row>
    <row r="198" spans="1:8" x14ac:dyDescent="0.25">
      <c r="A198" s="2">
        <v>197</v>
      </c>
      <c r="B198" s="3">
        <v>44758</v>
      </c>
      <c r="C198" s="2" t="s">
        <v>18</v>
      </c>
      <c r="D198" s="2" t="s">
        <v>9</v>
      </c>
      <c r="E198" s="2" t="s">
        <v>19</v>
      </c>
      <c r="F198" s="2">
        <v>6</v>
      </c>
      <c r="G198" s="2">
        <v>250</v>
      </c>
      <c r="H198" s="2">
        <f t="shared" si="3"/>
        <v>1500</v>
      </c>
    </row>
    <row r="199" spans="1:8" x14ac:dyDescent="0.25">
      <c r="A199" s="2">
        <v>198</v>
      </c>
      <c r="B199" s="3">
        <v>44759</v>
      </c>
      <c r="C199" s="2" t="s">
        <v>20</v>
      </c>
      <c r="D199" s="2" t="s">
        <v>9</v>
      </c>
      <c r="E199" s="2" t="s">
        <v>21</v>
      </c>
      <c r="F199" s="2">
        <v>3</v>
      </c>
      <c r="G199" s="2">
        <v>300</v>
      </c>
      <c r="H199" s="2">
        <f t="shared" si="3"/>
        <v>900</v>
      </c>
    </row>
    <row r="200" spans="1:8" x14ac:dyDescent="0.25">
      <c r="A200" s="2">
        <v>199</v>
      </c>
      <c r="B200" s="3">
        <v>44760</v>
      </c>
      <c r="C200" s="2" t="s">
        <v>8</v>
      </c>
      <c r="D200" s="2" t="s">
        <v>9</v>
      </c>
      <c r="E200" s="2" t="s">
        <v>10</v>
      </c>
      <c r="F200" s="2">
        <v>7</v>
      </c>
      <c r="G200" s="2">
        <v>210</v>
      </c>
      <c r="H200" s="2">
        <f t="shared" si="3"/>
        <v>1470</v>
      </c>
    </row>
    <row r="201" spans="1:8" x14ac:dyDescent="0.25">
      <c r="A201" s="2">
        <v>200</v>
      </c>
      <c r="B201" s="3">
        <v>44761</v>
      </c>
      <c r="C201" s="2" t="s">
        <v>11</v>
      </c>
      <c r="D201" s="2" t="s">
        <v>12</v>
      </c>
      <c r="E201" s="2" t="s">
        <v>13</v>
      </c>
      <c r="F201" s="2">
        <v>6</v>
      </c>
      <c r="G201" s="2">
        <v>2000</v>
      </c>
      <c r="H201" s="2">
        <f t="shared" si="3"/>
        <v>12000</v>
      </c>
    </row>
    <row r="202" spans="1:8" x14ac:dyDescent="0.25">
      <c r="A202" s="2">
        <v>201</v>
      </c>
      <c r="B202" s="3">
        <v>44762</v>
      </c>
      <c r="C202" s="2" t="s">
        <v>14</v>
      </c>
      <c r="D202" s="2" t="s">
        <v>9</v>
      </c>
      <c r="E202" s="2" t="s">
        <v>15</v>
      </c>
      <c r="F202" s="2">
        <v>3</v>
      </c>
      <c r="G202" s="2">
        <v>2500</v>
      </c>
      <c r="H202" s="2">
        <f t="shared" si="3"/>
        <v>7500</v>
      </c>
    </row>
    <row r="203" spans="1:8" x14ac:dyDescent="0.25">
      <c r="A203" s="2">
        <v>202</v>
      </c>
      <c r="B203" s="3">
        <v>44763</v>
      </c>
      <c r="C203" s="2" t="s">
        <v>16</v>
      </c>
      <c r="D203" s="2" t="s">
        <v>12</v>
      </c>
      <c r="E203" s="2" t="s">
        <v>17</v>
      </c>
      <c r="F203" s="2">
        <v>5</v>
      </c>
      <c r="G203" s="2">
        <v>1000</v>
      </c>
      <c r="H203" s="2">
        <f t="shared" si="3"/>
        <v>5000</v>
      </c>
    </row>
    <row r="204" spans="1:8" x14ac:dyDescent="0.25">
      <c r="A204" s="2">
        <v>203</v>
      </c>
      <c r="B204" s="3">
        <v>44764</v>
      </c>
      <c r="C204" s="2" t="s">
        <v>18</v>
      </c>
      <c r="D204" s="2" t="s">
        <v>9</v>
      </c>
      <c r="E204" s="2" t="s">
        <v>19</v>
      </c>
      <c r="F204" s="2">
        <v>3</v>
      </c>
      <c r="G204" s="2">
        <v>250</v>
      </c>
      <c r="H204" s="2">
        <f t="shared" si="3"/>
        <v>750</v>
      </c>
    </row>
    <row r="205" spans="1:8" x14ac:dyDescent="0.25">
      <c r="A205" s="2">
        <v>204</v>
      </c>
      <c r="B205" s="3">
        <v>44765</v>
      </c>
      <c r="C205" s="2" t="s">
        <v>20</v>
      </c>
      <c r="D205" s="2" t="s">
        <v>9</v>
      </c>
      <c r="E205" s="2" t="s">
        <v>21</v>
      </c>
      <c r="F205" s="2">
        <v>8</v>
      </c>
      <c r="G205" s="2">
        <v>300</v>
      </c>
      <c r="H205" s="2">
        <f t="shared" si="3"/>
        <v>2400</v>
      </c>
    </row>
    <row r="206" spans="1:8" x14ac:dyDescent="0.25">
      <c r="A206" s="2">
        <v>205</v>
      </c>
      <c r="B206" s="3">
        <v>44766</v>
      </c>
      <c r="C206" s="2" t="s">
        <v>8</v>
      </c>
      <c r="D206" s="2" t="s">
        <v>9</v>
      </c>
      <c r="E206" s="2" t="s">
        <v>10</v>
      </c>
      <c r="F206" s="2">
        <v>6</v>
      </c>
      <c r="G206" s="2">
        <v>210</v>
      </c>
      <c r="H206" s="2">
        <f t="shared" si="3"/>
        <v>1260</v>
      </c>
    </row>
    <row r="207" spans="1:8" x14ac:dyDescent="0.25">
      <c r="A207" s="2">
        <v>206</v>
      </c>
      <c r="B207" s="3">
        <v>44767</v>
      </c>
      <c r="C207" s="2" t="s">
        <v>11</v>
      </c>
      <c r="D207" s="2" t="s">
        <v>12</v>
      </c>
      <c r="E207" s="2" t="s">
        <v>13</v>
      </c>
      <c r="F207" s="2">
        <v>3</v>
      </c>
      <c r="G207" s="2">
        <v>2000</v>
      </c>
      <c r="H207" s="2">
        <f t="shared" si="3"/>
        <v>6000</v>
      </c>
    </row>
    <row r="208" spans="1:8" x14ac:dyDescent="0.25">
      <c r="A208" s="2">
        <v>207</v>
      </c>
      <c r="B208" s="3">
        <v>44768</v>
      </c>
      <c r="C208" s="2" t="s">
        <v>14</v>
      </c>
      <c r="D208" s="2" t="s">
        <v>9</v>
      </c>
      <c r="E208" s="2" t="s">
        <v>15</v>
      </c>
      <c r="F208" s="2">
        <v>3</v>
      </c>
      <c r="G208" s="2">
        <v>2500</v>
      </c>
      <c r="H208" s="2">
        <f t="shared" si="3"/>
        <v>7500</v>
      </c>
    </row>
    <row r="209" spans="1:8" x14ac:dyDescent="0.25">
      <c r="A209" s="2">
        <v>208</v>
      </c>
      <c r="B209" s="3">
        <v>44769</v>
      </c>
      <c r="C209" s="2" t="s">
        <v>16</v>
      </c>
      <c r="D209" s="2" t="s">
        <v>12</v>
      </c>
      <c r="E209" s="2" t="s">
        <v>17</v>
      </c>
      <c r="F209" s="2">
        <v>4</v>
      </c>
      <c r="G209" s="2">
        <v>1000</v>
      </c>
      <c r="H209" s="2">
        <f t="shared" si="3"/>
        <v>4000</v>
      </c>
    </row>
    <row r="210" spans="1:8" x14ac:dyDescent="0.25">
      <c r="A210" s="2">
        <v>209</v>
      </c>
      <c r="B210" s="3">
        <v>44770</v>
      </c>
      <c r="C210" s="2" t="s">
        <v>18</v>
      </c>
      <c r="D210" s="2" t="s">
        <v>9</v>
      </c>
      <c r="E210" s="2" t="s">
        <v>19</v>
      </c>
      <c r="F210" s="2">
        <v>4</v>
      </c>
      <c r="G210" s="2">
        <v>250</v>
      </c>
      <c r="H210" s="2">
        <f t="shared" si="3"/>
        <v>1000</v>
      </c>
    </row>
    <row r="211" spans="1:8" x14ac:dyDescent="0.25">
      <c r="A211" s="2">
        <v>210</v>
      </c>
      <c r="B211" s="3">
        <v>44771</v>
      </c>
      <c r="C211" s="2" t="s">
        <v>20</v>
      </c>
      <c r="D211" s="2" t="s">
        <v>9</v>
      </c>
      <c r="E211" s="2" t="s">
        <v>21</v>
      </c>
      <c r="F211" s="2">
        <v>5</v>
      </c>
      <c r="G211" s="2">
        <v>300</v>
      </c>
      <c r="H211" s="2">
        <f t="shared" si="3"/>
        <v>1500</v>
      </c>
    </row>
    <row r="212" spans="1:8" x14ac:dyDescent="0.25">
      <c r="A212" s="2">
        <v>211</v>
      </c>
      <c r="B212" s="3">
        <v>44772</v>
      </c>
      <c r="C212" s="2" t="s">
        <v>8</v>
      </c>
      <c r="D212" s="2" t="s">
        <v>9</v>
      </c>
      <c r="E212" s="2" t="s">
        <v>10</v>
      </c>
      <c r="F212" s="2">
        <v>4</v>
      </c>
      <c r="G212" s="2">
        <v>210</v>
      </c>
      <c r="H212" s="2">
        <f t="shared" si="3"/>
        <v>840</v>
      </c>
    </row>
    <row r="213" spans="1:8" x14ac:dyDescent="0.25">
      <c r="A213" s="2">
        <v>212</v>
      </c>
      <c r="B213" s="3">
        <v>44773</v>
      </c>
      <c r="C213" s="2" t="s">
        <v>11</v>
      </c>
      <c r="D213" s="2" t="s">
        <v>12</v>
      </c>
      <c r="E213" s="2" t="s">
        <v>13</v>
      </c>
      <c r="F213" s="2">
        <v>7</v>
      </c>
      <c r="G213" s="2">
        <v>2000</v>
      </c>
      <c r="H213" s="2">
        <f t="shared" si="3"/>
        <v>14000</v>
      </c>
    </row>
    <row r="214" spans="1:8" x14ac:dyDescent="0.25">
      <c r="A214" s="2">
        <v>213</v>
      </c>
      <c r="B214" s="3">
        <v>44774</v>
      </c>
      <c r="C214" s="2" t="s">
        <v>14</v>
      </c>
      <c r="D214" s="2" t="s">
        <v>9</v>
      </c>
      <c r="E214" s="2" t="s">
        <v>15</v>
      </c>
      <c r="F214" s="2">
        <v>6</v>
      </c>
      <c r="G214" s="2">
        <v>2500</v>
      </c>
      <c r="H214" s="2">
        <f t="shared" si="3"/>
        <v>15000</v>
      </c>
    </row>
    <row r="215" spans="1:8" x14ac:dyDescent="0.25">
      <c r="A215" s="2">
        <v>214</v>
      </c>
      <c r="B215" s="3">
        <v>44775</v>
      </c>
      <c r="C215" s="2" t="s">
        <v>16</v>
      </c>
      <c r="D215" s="2" t="s">
        <v>12</v>
      </c>
      <c r="E215" s="2" t="s">
        <v>17</v>
      </c>
      <c r="F215" s="2">
        <v>6</v>
      </c>
      <c r="G215" s="2">
        <v>1000</v>
      </c>
      <c r="H215" s="2">
        <f t="shared" si="3"/>
        <v>6000</v>
      </c>
    </row>
    <row r="216" spans="1:8" x14ac:dyDescent="0.25">
      <c r="A216" s="2">
        <v>215</v>
      </c>
      <c r="B216" s="3">
        <v>44776</v>
      </c>
      <c r="C216" s="2" t="s">
        <v>18</v>
      </c>
      <c r="D216" s="2" t="s">
        <v>9</v>
      </c>
      <c r="E216" s="2" t="s">
        <v>19</v>
      </c>
      <c r="F216" s="2">
        <v>9</v>
      </c>
      <c r="G216" s="2">
        <v>250</v>
      </c>
      <c r="H216" s="2">
        <f t="shared" si="3"/>
        <v>2250</v>
      </c>
    </row>
    <row r="217" spans="1:8" x14ac:dyDescent="0.25">
      <c r="A217" s="2">
        <v>216</v>
      </c>
      <c r="B217" s="3">
        <v>44777</v>
      </c>
      <c r="C217" s="2" t="s">
        <v>20</v>
      </c>
      <c r="D217" s="2" t="s">
        <v>9</v>
      </c>
      <c r="E217" s="2" t="s">
        <v>21</v>
      </c>
      <c r="F217" s="2">
        <v>8</v>
      </c>
      <c r="G217" s="2">
        <v>300</v>
      </c>
      <c r="H217" s="2">
        <f t="shared" si="3"/>
        <v>2400</v>
      </c>
    </row>
    <row r="218" spans="1:8" x14ac:dyDescent="0.25">
      <c r="A218" s="2">
        <v>217</v>
      </c>
      <c r="B218" s="3">
        <v>44778</v>
      </c>
      <c r="C218" s="2" t="s">
        <v>8</v>
      </c>
      <c r="D218" s="2" t="s">
        <v>9</v>
      </c>
      <c r="E218" s="2" t="s">
        <v>10</v>
      </c>
      <c r="F218" s="2">
        <v>9</v>
      </c>
      <c r="G218" s="2">
        <v>210</v>
      </c>
      <c r="H218" s="2">
        <f t="shared" si="3"/>
        <v>1890</v>
      </c>
    </row>
    <row r="219" spans="1:8" x14ac:dyDescent="0.25">
      <c r="A219" s="2">
        <v>218</v>
      </c>
      <c r="B219" s="3">
        <v>44779</v>
      </c>
      <c r="C219" s="2" t="s">
        <v>11</v>
      </c>
      <c r="D219" s="2" t="s">
        <v>12</v>
      </c>
      <c r="E219" s="2" t="s">
        <v>13</v>
      </c>
      <c r="F219" s="2">
        <v>9</v>
      </c>
      <c r="G219" s="2">
        <v>2000</v>
      </c>
      <c r="H219" s="2">
        <f t="shared" si="3"/>
        <v>18000</v>
      </c>
    </row>
    <row r="220" spans="1:8" x14ac:dyDescent="0.25">
      <c r="A220" s="2">
        <v>219</v>
      </c>
      <c r="B220" s="3">
        <v>44780</v>
      </c>
      <c r="C220" s="2" t="s">
        <v>14</v>
      </c>
      <c r="D220" s="2" t="s">
        <v>9</v>
      </c>
      <c r="E220" s="2" t="s">
        <v>15</v>
      </c>
      <c r="F220" s="2">
        <v>8</v>
      </c>
      <c r="G220" s="2">
        <v>2500</v>
      </c>
      <c r="H220" s="2">
        <f t="shared" si="3"/>
        <v>20000</v>
      </c>
    </row>
    <row r="221" spans="1:8" x14ac:dyDescent="0.25">
      <c r="A221" s="2">
        <v>220</v>
      </c>
      <c r="B221" s="3">
        <v>44781</v>
      </c>
      <c r="C221" s="2" t="s">
        <v>16</v>
      </c>
      <c r="D221" s="2" t="s">
        <v>12</v>
      </c>
      <c r="E221" s="2" t="s">
        <v>17</v>
      </c>
      <c r="F221" s="2">
        <v>7</v>
      </c>
      <c r="G221" s="2">
        <v>1000</v>
      </c>
      <c r="H221" s="2">
        <f t="shared" si="3"/>
        <v>7000</v>
      </c>
    </row>
    <row r="222" spans="1:8" x14ac:dyDescent="0.25">
      <c r="A222" s="2">
        <v>221</v>
      </c>
      <c r="B222" s="3">
        <v>44782</v>
      </c>
      <c r="C222" s="2" t="s">
        <v>18</v>
      </c>
      <c r="D222" s="2" t="s">
        <v>9</v>
      </c>
      <c r="E222" s="2" t="s">
        <v>19</v>
      </c>
      <c r="F222" s="2">
        <v>6</v>
      </c>
      <c r="G222" s="2">
        <v>250</v>
      </c>
      <c r="H222" s="2">
        <f t="shared" si="3"/>
        <v>1500</v>
      </c>
    </row>
    <row r="223" spans="1:8" x14ac:dyDescent="0.25">
      <c r="A223" s="2">
        <v>222</v>
      </c>
      <c r="B223" s="3">
        <v>44783</v>
      </c>
      <c r="C223" s="2" t="s">
        <v>20</v>
      </c>
      <c r="D223" s="2" t="s">
        <v>9</v>
      </c>
      <c r="E223" s="2" t="s">
        <v>21</v>
      </c>
      <c r="F223" s="2">
        <v>4</v>
      </c>
      <c r="G223" s="2">
        <v>300</v>
      </c>
      <c r="H223" s="2">
        <f t="shared" si="3"/>
        <v>1200</v>
      </c>
    </row>
    <row r="224" spans="1:8" x14ac:dyDescent="0.25">
      <c r="A224" s="2">
        <v>223</v>
      </c>
      <c r="B224" s="3">
        <v>44784</v>
      </c>
      <c r="C224" s="2" t="s">
        <v>8</v>
      </c>
      <c r="D224" s="2" t="s">
        <v>9</v>
      </c>
      <c r="E224" s="2" t="s">
        <v>10</v>
      </c>
      <c r="F224" s="2">
        <v>6</v>
      </c>
      <c r="G224" s="2">
        <v>210</v>
      </c>
      <c r="H224" s="2">
        <f t="shared" si="3"/>
        <v>1260</v>
      </c>
    </row>
    <row r="225" spans="1:8" x14ac:dyDescent="0.25">
      <c r="A225" s="2">
        <v>224</v>
      </c>
      <c r="B225" s="3">
        <v>44785</v>
      </c>
      <c r="C225" s="2" t="s">
        <v>11</v>
      </c>
      <c r="D225" s="2" t="s">
        <v>12</v>
      </c>
      <c r="E225" s="2" t="s">
        <v>13</v>
      </c>
      <c r="F225" s="2">
        <v>9</v>
      </c>
      <c r="G225" s="2">
        <v>2000</v>
      </c>
      <c r="H225" s="2">
        <f t="shared" si="3"/>
        <v>18000</v>
      </c>
    </row>
    <row r="226" spans="1:8" x14ac:dyDescent="0.25">
      <c r="A226" s="2">
        <v>225</v>
      </c>
      <c r="B226" s="3">
        <v>44786</v>
      </c>
      <c r="C226" s="2" t="s">
        <v>14</v>
      </c>
      <c r="D226" s="2" t="s">
        <v>9</v>
      </c>
      <c r="E226" s="2" t="s">
        <v>15</v>
      </c>
      <c r="F226" s="2">
        <v>8</v>
      </c>
      <c r="G226" s="2">
        <v>2500</v>
      </c>
      <c r="H226" s="2">
        <f t="shared" si="3"/>
        <v>20000</v>
      </c>
    </row>
    <row r="227" spans="1:8" x14ac:dyDescent="0.25">
      <c r="A227" s="2">
        <v>226</v>
      </c>
      <c r="B227" s="3">
        <v>44787</v>
      </c>
      <c r="C227" s="2" t="s">
        <v>16</v>
      </c>
      <c r="D227" s="2" t="s">
        <v>12</v>
      </c>
      <c r="E227" s="2" t="s">
        <v>17</v>
      </c>
      <c r="F227" s="2">
        <v>4</v>
      </c>
      <c r="G227" s="2">
        <v>1000</v>
      </c>
      <c r="H227" s="2">
        <f t="shared" si="3"/>
        <v>4000</v>
      </c>
    </row>
    <row r="228" spans="1:8" x14ac:dyDescent="0.25">
      <c r="A228" s="2">
        <v>227</v>
      </c>
      <c r="B228" s="3">
        <v>44788</v>
      </c>
      <c r="C228" s="2" t="s">
        <v>18</v>
      </c>
      <c r="D228" s="2" t="s">
        <v>9</v>
      </c>
      <c r="E228" s="2" t="s">
        <v>19</v>
      </c>
      <c r="F228" s="2">
        <v>5</v>
      </c>
      <c r="G228" s="2">
        <v>250</v>
      </c>
      <c r="H228" s="2">
        <f t="shared" si="3"/>
        <v>1250</v>
      </c>
    </row>
    <row r="229" spans="1:8" x14ac:dyDescent="0.25">
      <c r="A229" s="2">
        <v>228</v>
      </c>
      <c r="B229" s="3">
        <v>44789</v>
      </c>
      <c r="C229" s="2" t="s">
        <v>20</v>
      </c>
      <c r="D229" s="2" t="s">
        <v>9</v>
      </c>
      <c r="E229" s="2" t="s">
        <v>21</v>
      </c>
      <c r="F229" s="2">
        <v>6</v>
      </c>
      <c r="G229" s="2">
        <v>300</v>
      </c>
      <c r="H229" s="2">
        <f t="shared" si="3"/>
        <v>1800</v>
      </c>
    </row>
    <row r="230" spans="1:8" x14ac:dyDescent="0.25">
      <c r="A230" s="2">
        <v>229</v>
      </c>
      <c r="B230" s="3">
        <v>44790</v>
      </c>
      <c r="C230" s="2" t="s">
        <v>8</v>
      </c>
      <c r="D230" s="2" t="s">
        <v>9</v>
      </c>
      <c r="E230" s="2" t="s">
        <v>10</v>
      </c>
      <c r="F230" s="2">
        <v>8</v>
      </c>
      <c r="G230" s="2">
        <v>210</v>
      </c>
      <c r="H230" s="2">
        <f t="shared" si="3"/>
        <v>1680</v>
      </c>
    </row>
    <row r="231" spans="1:8" x14ac:dyDescent="0.25">
      <c r="A231" s="2">
        <v>230</v>
      </c>
      <c r="B231" s="3">
        <v>44791</v>
      </c>
      <c r="C231" s="2" t="s">
        <v>11</v>
      </c>
      <c r="D231" s="2" t="s">
        <v>12</v>
      </c>
      <c r="E231" s="2" t="s">
        <v>13</v>
      </c>
      <c r="F231" s="2">
        <v>5</v>
      </c>
      <c r="G231" s="2">
        <v>2000</v>
      </c>
      <c r="H231" s="2">
        <f t="shared" si="3"/>
        <v>10000</v>
      </c>
    </row>
    <row r="232" spans="1:8" x14ac:dyDescent="0.25">
      <c r="A232" s="2">
        <v>231</v>
      </c>
      <c r="B232" s="3">
        <v>44792</v>
      </c>
      <c r="C232" s="2" t="s">
        <v>14</v>
      </c>
      <c r="D232" s="2" t="s">
        <v>9</v>
      </c>
      <c r="E232" s="2" t="s">
        <v>15</v>
      </c>
      <c r="F232" s="2">
        <v>9</v>
      </c>
      <c r="G232" s="2">
        <v>2500</v>
      </c>
      <c r="H232" s="2">
        <f t="shared" si="3"/>
        <v>22500</v>
      </c>
    </row>
    <row r="233" spans="1:8" x14ac:dyDescent="0.25">
      <c r="A233" s="2">
        <v>232</v>
      </c>
      <c r="B233" s="3">
        <v>44793</v>
      </c>
      <c r="C233" s="2" t="s">
        <v>16</v>
      </c>
      <c r="D233" s="2" t="s">
        <v>12</v>
      </c>
      <c r="E233" s="2" t="s">
        <v>17</v>
      </c>
      <c r="F233" s="2">
        <v>4</v>
      </c>
      <c r="G233" s="2">
        <v>1000</v>
      </c>
      <c r="H233" s="2">
        <f t="shared" si="3"/>
        <v>4000</v>
      </c>
    </row>
    <row r="234" spans="1:8" x14ac:dyDescent="0.25">
      <c r="A234" s="2">
        <v>233</v>
      </c>
      <c r="B234" s="3">
        <v>44794</v>
      </c>
      <c r="C234" s="2" t="s">
        <v>18</v>
      </c>
      <c r="D234" s="2" t="s">
        <v>9</v>
      </c>
      <c r="E234" s="2" t="s">
        <v>19</v>
      </c>
      <c r="F234" s="2">
        <v>9</v>
      </c>
      <c r="G234" s="2">
        <v>250</v>
      </c>
      <c r="H234" s="2">
        <f t="shared" si="3"/>
        <v>2250</v>
      </c>
    </row>
    <row r="235" spans="1:8" x14ac:dyDescent="0.25">
      <c r="A235" s="2">
        <v>234</v>
      </c>
      <c r="B235" s="3">
        <v>44795</v>
      </c>
      <c r="C235" s="2" t="s">
        <v>20</v>
      </c>
      <c r="D235" s="2" t="s">
        <v>9</v>
      </c>
      <c r="E235" s="2" t="s">
        <v>21</v>
      </c>
      <c r="F235" s="2">
        <v>9</v>
      </c>
      <c r="G235" s="2">
        <v>300</v>
      </c>
      <c r="H235" s="2">
        <f t="shared" si="3"/>
        <v>2700</v>
      </c>
    </row>
    <row r="236" spans="1:8" x14ac:dyDescent="0.25">
      <c r="A236" s="2">
        <v>235</v>
      </c>
      <c r="B236" s="3">
        <v>44796</v>
      </c>
      <c r="C236" s="2" t="s">
        <v>8</v>
      </c>
      <c r="D236" s="2" t="s">
        <v>9</v>
      </c>
      <c r="E236" s="2" t="s">
        <v>10</v>
      </c>
      <c r="F236" s="2">
        <v>6</v>
      </c>
      <c r="G236" s="2">
        <v>210</v>
      </c>
      <c r="H236" s="2">
        <f t="shared" si="3"/>
        <v>1260</v>
      </c>
    </row>
    <row r="237" spans="1:8" x14ac:dyDescent="0.25">
      <c r="A237" s="2">
        <v>236</v>
      </c>
      <c r="B237" s="3">
        <v>44797</v>
      </c>
      <c r="C237" s="2" t="s">
        <v>11</v>
      </c>
      <c r="D237" s="2" t="s">
        <v>12</v>
      </c>
      <c r="E237" s="2" t="s">
        <v>13</v>
      </c>
      <c r="F237" s="2">
        <v>3</v>
      </c>
      <c r="G237" s="2">
        <v>2000</v>
      </c>
      <c r="H237" s="2">
        <f t="shared" si="3"/>
        <v>6000</v>
      </c>
    </row>
    <row r="238" spans="1:8" x14ac:dyDescent="0.25">
      <c r="A238" s="2">
        <v>237</v>
      </c>
      <c r="B238" s="3">
        <v>44798</v>
      </c>
      <c r="C238" s="2" t="s">
        <v>14</v>
      </c>
      <c r="D238" s="2" t="s">
        <v>9</v>
      </c>
      <c r="E238" s="2" t="s">
        <v>15</v>
      </c>
      <c r="F238" s="2">
        <v>4</v>
      </c>
      <c r="G238" s="2">
        <v>2500</v>
      </c>
      <c r="H238" s="2">
        <f t="shared" si="3"/>
        <v>10000</v>
      </c>
    </row>
    <row r="239" spans="1:8" x14ac:dyDescent="0.25">
      <c r="A239" s="2">
        <v>238</v>
      </c>
      <c r="B239" s="3">
        <v>44799</v>
      </c>
      <c r="C239" s="2" t="s">
        <v>16</v>
      </c>
      <c r="D239" s="2" t="s">
        <v>12</v>
      </c>
      <c r="E239" s="2" t="s">
        <v>17</v>
      </c>
      <c r="F239" s="2">
        <v>4</v>
      </c>
      <c r="G239" s="2">
        <v>1000</v>
      </c>
      <c r="H239" s="2">
        <f t="shared" si="3"/>
        <v>4000</v>
      </c>
    </row>
    <row r="240" spans="1:8" x14ac:dyDescent="0.25">
      <c r="A240" s="2">
        <v>239</v>
      </c>
      <c r="B240" s="3">
        <v>44800</v>
      </c>
      <c r="C240" s="2" t="s">
        <v>18</v>
      </c>
      <c r="D240" s="2" t="s">
        <v>9</v>
      </c>
      <c r="E240" s="2" t="s">
        <v>19</v>
      </c>
      <c r="F240" s="2">
        <v>9</v>
      </c>
      <c r="G240" s="2">
        <v>250</v>
      </c>
      <c r="H240" s="2">
        <f t="shared" si="3"/>
        <v>2250</v>
      </c>
    </row>
    <row r="241" spans="1:8" x14ac:dyDescent="0.25">
      <c r="A241" s="2">
        <v>240</v>
      </c>
      <c r="B241" s="3">
        <v>44801</v>
      </c>
      <c r="C241" s="2" t="s">
        <v>20</v>
      </c>
      <c r="D241" s="2" t="s">
        <v>9</v>
      </c>
      <c r="E241" s="2" t="s">
        <v>21</v>
      </c>
      <c r="F241" s="2">
        <v>3</v>
      </c>
      <c r="G241" s="2">
        <v>300</v>
      </c>
      <c r="H241" s="2">
        <f t="shared" si="3"/>
        <v>900</v>
      </c>
    </row>
    <row r="242" spans="1:8" x14ac:dyDescent="0.25">
      <c r="A242" s="2">
        <v>241</v>
      </c>
      <c r="B242" s="3">
        <v>44802</v>
      </c>
      <c r="C242" s="2" t="s">
        <v>8</v>
      </c>
      <c r="D242" s="2" t="s">
        <v>9</v>
      </c>
      <c r="E242" s="2" t="s">
        <v>10</v>
      </c>
      <c r="F242" s="2">
        <v>4</v>
      </c>
      <c r="G242" s="2">
        <v>210</v>
      </c>
      <c r="H242" s="2">
        <f t="shared" si="3"/>
        <v>840</v>
      </c>
    </row>
    <row r="243" spans="1:8" x14ac:dyDescent="0.25">
      <c r="A243" s="2">
        <v>242</v>
      </c>
      <c r="B243" s="3">
        <v>44803</v>
      </c>
      <c r="C243" s="2" t="s">
        <v>11</v>
      </c>
      <c r="D243" s="2" t="s">
        <v>12</v>
      </c>
      <c r="E243" s="2" t="s">
        <v>13</v>
      </c>
      <c r="F243" s="2">
        <v>7</v>
      </c>
      <c r="G243" s="2">
        <v>2000</v>
      </c>
      <c r="H243" s="2">
        <f t="shared" si="3"/>
        <v>14000</v>
      </c>
    </row>
    <row r="244" spans="1:8" x14ac:dyDescent="0.25">
      <c r="A244" s="2">
        <v>243</v>
      </c>
      <c r="B244" s="3">
        <v>44804</v>
      </c>
      <c r="C244" s="2" t="s">
        <v>14</v>
      </c>
      <c r="D244" s="2" t="s">
        <v>9</v>
      </c>
      <c r="E244" s="2" t="s">
        <v>15</v>
      </c>
      <c r="F244" s="2">
        <v>6</v>
      </c>
      <c r="G244" s="2">
        <v>2500</v>
      </c>
      <c r="H244" s="2">
        <f t="shared" si="3"/>
        <v>15000</v>
      </c>
    </row>
    <row r="245" spans="1:8" x14ac:dyDescent="0.25">
      <c r="A245" s="2">
        <v>244</v>
      </c>
      <c r="B245" s="3">
        <v>44805</v>
      </c>
      <c r="C245" s="2" t="s">
        <v>16</v>
      </c>
      <c r="D245" s="2" t="s">
        <v>12</v>
      </c>
      <c r="E245" s="2" t="s">
        <v>17</v>
      </c>
      <c r="F245" s="2">
        <v>7</v>
      </c>
      <c r="G245" s="2">
        <v>1000</v>
      </c>
      <c r="H245" s="2">
        <f t="shared" si="3"/>
        <v>7000</v>
      </c>
    </row>
    <row r="246" spans="1:8" x14ac:dyDescent="0.25">
      <c r="A246" s="2">
        <v>245</v>
      </c>
      <c r="B246" s="3">
        <v>44806</v>
      </c>
      <c r="C246" s="2" t="s">
        <v>18</v>
      </c>
      <c r="D246" s="2" t="s">
        <v>9</v>
      </c>
      <c r="E246" s="2" t="s">
        <v>19</v>
      </c>
      <c r="F246" s="2">
        <v>9</v>
      </c>
      <c r="G246" s="2">
        <v>250</v>
      </c>
      <c r="H246" s="2">
        <f t="shared" si="3"/>
        <v>2250</v>
      </c>
    </row>
    <row r="247" spans="1:8" x14ac:dyDescent="0.25">
      <c r="A247" s="2">
        <v>246</v>
      </c>
      <c r="B247" s="3">
        <v>44807</v>
      </c>
      <c r="C247" s="2" t="s">
        <v>20</v>
      </c>
      <c r="D247" s="2" t="s">
        <v>9</v>
      </c>
      <c r="E247" s="2" t="s">
        <v>21</v>
      </c>
      <c r="F247" s="2">
        <v>8</v>
      </c>
      <c r="G247" s="2">
        <v>300</v>
      </c>
      <c r="H247" s="2">
        <f t="shared" si="3"/>
        <v>2400</v>
      </c>
    </row>
    <row r="248" spans="1:8" x14ac:dyDescent="0.25">
      <c r="A248" s="2">
        <v>247</v>
      </c>
      <c r="B248" s="3">
        <v>44808</v>
      </c>
      <c r="C248" s="2" t="s">
        <v>8</v>
      </c>
      <c r="D248" s="2" t="s">
        <v>9</v>
      </c>
      <c r="E248" s="2" t="s">
        <v>10</v>
      </c>
      <c r="F248" s="2">
        <v>6</v>
      </c>
      <c r="G248" s="2">
        <v>210</v>
      </c>
      <c r="H248" s="2">
        <f t="shared" si="3"/>
        <v>1260</v>
      </c>
    </row>
    <row r="249" spans="1:8" x14ac:dyDescent="0.25">
      <c r="A249" s="2">
        <v>248</v>
      </c>
      <c r="B249" s="3">
        <v>44809</v>
      </c>
      <c r="C249" s="2" t="s">
        <v>11</v>
      </c>
      <c r="D249" s="2" t="s">
        <v>12</v>
      </c>
      <c r="E249" s="2" t="s">
        <v>13</v>
      </c>
      <c r="F249" s="2">
        <v>6</v>
      </c>
      <c r="G249" s="2">
        <v>2000</v>
      </c>
      <c r="H249" s="2">
        <f t="shared" si="3"/>
        <v>12000</v>
      </c>
    </row>
    <row r="250" spans="1:8" x14ac:dyDescent="0.25">
      <c r="A250" s="2">
        <v>249</v>
      </c>
      <c r="B250" s="3">
        <v>44810</v>
      </c>
      <c r="C250" s="2" t="s">
        <v>14</v>
      </c>
      <c r="D250" s="2" t="s">
        <v>9</v>
      </c>
      <c r="E250" s="2" t="s">
        <v>15</v>
      </c>
      <c r="F250" s="2">
        <v>5</v>
      </c>
      <c r="G250" s="2">
        <v>2500</v>
      </c>
      <c r="H250" s="2">
        <f t="shared" si="3"/>
        <v>12500</v>
      </c>
    </row>
    <row r="251" spans="1:8" x14ac:dyDescent="0.25">
      <c r="A251" s="2">
        <v>250</v>
      </c>
      <c r="B251" s="3">
        <v>44811</v>
      </c>
      <c r="C251" s="2" t="s">
        <v>16</v>
      </c>
      <c r="D251" s="2" t="s">
        <v>12</v>
      </c>
      <c r="E251" s="2" t="s">
        <v>17</v>
      </c>
      <c r="F251" s="2">
        <v>7</v>
      </c>
      <c r="G251" s="2">
        <v>1000</v>
      </c>
      <c r="H251" s="2">
        <f t="shared" si="3"/>
        <v>7000</v>
      </c>
    </row>
    <row r="252" spans="1:8" x14ac:dyDescent="0.25">
      <c r="A252" s="2">
        <v>251</v>
      </c>
      <c r="B252" s="3">
        <v>44812</v>
      </c>
      <c r="C252" s="2" t="s">
        <v>18</v>
      </c>
      <c r="D252" s="2" t="s">
        <v>9</v>
      </c>
      <c r="E252" s="2" t="s">
        <v>19</v>
      </c>
      <c r="F252" s="2">
        <v>4</v>
      </c>
      <c r="G252" s="2">
        <v>250</v>
      </c>
      <c r="H252" s="2">
        <f t="shared" si="3"/>
        <v>1000</v>
      </c>
    </row>
    <row r="253" spans="1:8" x14ac:dyDescent="0.25">
      <c r="A253" s="2">
        <v>252</v>
      </c>
      <c r="B253" s="3">
        <v>44813</v>
      </c>
      <c r="C253" s="2" t="s">
        <v>20</v>
      </c>
      <c r="D253" s="2" t="s">
        <v>9</v>
      </c>
      <c r="E253" s="2" t="s">
        <v>21</v>
      </c>
      <c r="F253" s="2">
        <v>7</v>
      </c>
      <c r="G253" s="2">
        <v>300</v>
      </c>
      <c r="H253" s="2">
        <f t="shared" si="3"/>
        <v>2100</v>
      </c>
    </row>
    <row r="254" spans="1:8" x14ac:dyDescent="0.25">
      <c r="A254" s="2">
        <v>253</v>
      </c>
      <c r="B254" s="3">
        <v>44814</v>
      </c>
      <c r="C254" s="2" t="s">
        <v>8</v>
      </c>
      <c r="D254" s="2" t="s">
        <v>9</v>
      </c>
      <c r="E254" s="2" t="s">
        <v>10</v>
      </c>
      <c r="F254" s="2">
        <v>7</v>
      </c>
      <c r="G254" s="2">
        <v>210</v>
      </c>
      <c r="H254" s="2">
        <f t="shared" si="3"/>
        <v>1470</v>
      </c>
    </row>
    <row r="255" spans="1:8" x14ac:dyDescent="0.25">
      <c r="A255" s="2">
        <v>254</v>
      </c>
      <c r="B255" s="3">
        <v>44815</v>
      </c>
      <c r="C255" s="2" t="s">
        <v>11</v>
      </c>
      <c r="D255" s="2" t="s">
        <v>12</v>
      </c>
      <c r="E255" s="2" t="s">
        <v>13</v>
      </c>
      <c r="F255" s="2">
        <v>8</v>
      </c>
      <c r="G255" s="2">
        <v>2000</v>
      </c>
      <c r="H255" s="2">
        <f t="shared" si="3"/>
        <v>16000</v>
      </c>
    </row>
    <row r="256" spans="1:8" x14ac:dyDescent="0.25">
      <c r="A256" s="2">
        <v>255</v>
      </c>
      <c r="B256" s="3">
        <v>44816</v>
      </c>
      <c r="C256" s="2" t="s">
        <v>14</v>
      </c>
      <c r="D256" s="2" t="s">
        <v>9</v>
      </c>
      <c r="E256" s="2" t="s">
        <v>15</v>
      </c>
      <c r="F256" s="2">
        <v>5</v>
      </c>
      <c r="G256" s="2">
        <v>2500</v>
      </c>
      <c r="H256" s="2">
        <f t="shared" si="3"/>
        <v>12500</v>
      </c>
    </row>
    <row r="257" spans="1:8" x14ac:dyDescent="0.25">
      <c r="A257" s="2">
        <v>256</v>
      </c>
      <c r="B257" s="3">
        <v>44817</v>
      </c>
      <c r="C257" s="2" t="s">
        <v>16</v>
      </c>
      <c r="D257" s="2" t="s">
        <v>12</v>
      </c>
      <c r="E257" s="2" t="s">
        <v>17</v>
      </c>
      <c r="F257" s="2">
        <v>6</v>
      </c>
      <c r="G257" s="2">
        <v>1000</v>
      </c>
      <c r="H257" s="2">
        <f t="shared" si="3"/>
        <v>6000</v>
      </c>
    </row>
    <row r="258" spans="1:8" x14ac:dyDescent="0.25">
      <c r="A258" s="2">
        <v>257</v>
      </c>
      <c r="B258" s="3">
        <v>44818</v>
      </c>
      <c r="C258" s="2" t="s">
        <v>18</v>
      </c>
      <c r="D258" s="2" t="s">
        <v>9</v>
      </c>
      <c r="E258" s="2" t="s">
        <v>19</v>
      </c>
      <c r="F258" s="2">
        <v>9</v>
      </c>
      <c r="G258" s="2">
        <v>250</v>
      </c>
      <c r="H258" s="2">
        <f t="shared" si="3"/>
        <v>2250</v>
      </c>
    </row>
    <row r="259" spans="1:8" x14ac:dyDescent="0.25">
      <c r="A259" s="2">
        <v>258</v>
      </c>
      <c r="B259" s="3">
        <v>44819</v>
      </c>
      <c r="C259" s="2" t="s">
        <v>20</v>
      </c>
      <c r="D259" s="2" t="s">
        <v>9</v>
      </c>
      <c r="E259" s="2" t="s">
        <v>21</v>
      </c>
      <c r="F259" s="2">
        <v>5</v>
      </c>
      <c r="G259" s="2">
        <v>300</v>
      </c>
      <c r="H259" s="2">
        <f t="shared" ref="H259:H301" si="4">G259*F259</f>
        <v>1500</v>
      </c>
    </row>
    <row r="260" spans="1:8" x14ac:dyDescent="0.25">
      <c r="A260" s="2">
        <v>259</v>
      </c>
      <c r="B260" s="3">
        <v>44820</v>
      </c>
      <c r="C260" s="2" t="s">
        <v>8</v>
      </c>
      <c r="D260" s="2" t="s">
        <v>9</v>
      </c>
      <c r="E260" s="2" t="s">
        <v>10</v>
      </c>
      <c r="F260" s="2">
        <v>3</v>
      </c>
      <c r="G260" s="2">
        <v>210</v>
      </c>
      <c r="H260" s="2">
        <f t="shared" si="4"/>
        <v>630</v>
      </c>
    </row>
    <row r="261" spans="1:8" x14ac:dyDescent="0.25">
      <c r="A261" s="2">
        <v>260</v>
      </c>
      <c r="B261" s="3">
        <v>44821</v>
      </c>
      <c r="C261" s="2" t="s">
        <v>11</v>
      </c>
      <c r="D261" s="2" t="s">
        <v>12</v>
      </c>
      <c r="E261" s="2" t="s">
        <v>13</v>
      </c>
      <c r="F261" s="2">
        <v>4</v>
      </c>
      <c r="G261" s="2">
        <v>2000</v>
      </c>
      <c r="H261" s="2">
        <f t="shared" si="4"/>
        <v>8000</v>
      </c>
    </row>
    <row r="262" spans="1:8" x14ac:dyDescent="0.25">
      <c r="A262" s="2">
        <v>261</v>
      </c>
      <c r="B262" s="3">
        <v>44822</v>
      </c>
      <c r="C262" s="2" t="s">
        <v>14</v>
      </c>
      <c r="D262" s="2" t="s">
        <v>9</v>
      </c>
      <c r="E262" s="2" t="s">
        <v>15</v>
      </c>
      <c r="F262" s="2">
        <v>6</v>
      </c>
      <c r="G262" s="2">
        <v>2500</v>
      </c>
      <c r="H262" s="2">
        <f t="shared" si="4"/>
        <v>15000</v>
      </c>
    </row>
    <row r="263" spans="1:8" x14ac:dyDescent="0.25">
      <c r="A263" s="2">
        <v>262</v>
      </c>
      <c r="B263" s="3">
        <v>44823</v>
      </c>
      <c r="C263" s="2" t="s">
        <v>16</v>
      </c>
      <c r="D263" s="2" t="s">
        <v>12</v>
      </c>
      <c r="E263" s="2" t="s">
        <v>17</v>
      </c>
      <c r="F263" s="2">
        <v>6</v>
      </c>
      <c r="G263" s="2">
        <v>1000</v>
      </c>
      <c r="H263" s="2">
        <f t="shared" si="4"/>
        <v>6000</v>
      </c>
    </row>
    <row r="264" spans="1:8" x14ac:dyDescent="0.25">
      <c r="A264" s="2">
        <v>263</v>
      </c>
      <c r="B264" s="3">
        <v>44824</v>
      </c>
      <c r="C264" s="2" t="s">
        <v>18</v>
      </c>
      <c r="D264" s="2" t="s">
        <v>9</v>
      </c>
      <c r="E264" s="2" t="s">
        <v>19</v>
      </c>
      <c r="F264" s="2">
        <v>3</v>
      </c>
      <c r="G264" s="2">
        <v>250</v>
      </c>
      <c r="H264" s="2">
        <f t="shared" si="4"/>
        <v>750</v>
      </c>
    </row>
    <row r="265" spans="1:8" x14ac:dyDescent="0.25">
      <c r="A265" s="2">
        <v>264</v>
      </c>
      <c r="B265" s="3">
        <v>44825</v>
      </c>
      <c r="C265" s="2" t="s">
        <v>20</v>
      </c>
      <c r="D265" s="2" t="s">
        <v>9</v>
      </c>
      <c r="E265" s="2" t="s">
        <v>21</v>
      </c>
      <c r="F265" s="2">
        <v>5</v>
      </c>
      <c r="G265" s="2">
        <v>300</v>
      </c>
      <c r="H265" s="2">
        <f t="shared" si="4"/>
        <v>1500</v>
      </c>
    </row>
    <row r="266" spans="1:8" x14ac:dyDescent="0.25">
      <c r="A266" s="2">
        <v>265</v>
      </c>
      <c r="B266" s="3">
        <v>44826</v>
      </c>
      <c r="C266" s="2" t="s">
        <v>8</v>
      </c>
      <c r="D266" s="2" t="s">
        <v>9</v>
      </c>
      <c r="E266" s="2" t="s">
        <v>10</v>
      </c>
      <c r="F266" s="2">
        <v>5</v>
      </c>
      <c r="G266" s="2">
        <v>210</v>
      </c>
      <c r="H266" s="2">
        <f t="shared" si="4"/>
        <v>1050</v>
      </c>
    </row>
    <row r="267" spans="1:8" x14ac:dyDescent="0.25">
      <c r="A267" s="2">
        <v>266</v>
      </c>
      <c r="B267" s="3">
        <v>44827</v>
      </c>
      <c r="C267" s="2" t="s">
        <v>11</v>
      </c>
      <c r="D267" s="2" t="s">
        <v>12</v>
      </c>
      <c r="E267" s="2" t="s">
        <v>13</v>
      </c>
      <c r="F267" s="2">
        <v>8</v>
      </c>
      <c r="G267" s="2">
        <v>2000</v>
      </c>
      <c r="H267" s="2">
        <f t="shared" si="4"/>
        <v>16000</v>
      </c>
    </row>
    <row r="268" spans="1:8" x14ac:dyDescent="0.25">
      <c r="A268" s="2">
        <v>267</v>
      </c>
      <c r="B268" s="3">
        <v>44828</v>
      </c>
      <c r="C268" s="2" t="s">
        <v>14</v>
      </c>
      <c r="D268" s="2" t="s">
        <v>9</v>
      </c>
      <c r="E268" s="2" t="s">
        <v>15</v>
      </c>
      <c r="F268" s="2">
        <v>8</v>
      </c>
      <c r="G268" s="2">
        <v>2500</v>
      </c>
      <c r="H268" s="2">
        <f t="shared" si="4"/>
        <v>20000</v>
      </c>
    </row>
    <row r="269" spans="1:8" x14ac:dyDescent="0.25">
      <c r="A269" s="2">
        <v>268</v>
      </c>
      <c r="B269" s="3">
        <v>44829</v>
      </c>
      <c r="C269" s="2" t="s">
        <v>16</v>
      </c>
      <c r="D269" s="2" t="s">
        <v>12</v>
      </c>
      <c r="E269" s="2" t="s">
        <v>17</v>
      </c>
      <c r="F269" s="2">
        <v>9</v>
      </c>
      <c r="G269" s="2">
        <v>1000</v>
      </c>
      <c r="H269" s="2">
        <f t="shared" si="4"/>
        <v>9000</v>
      </c>
    </row>
    <row r="270" spans="1:8" x14ac:dyDescent="0.25">
      <c r="A270" s="2">
        <v>269</v>
      </c>
      <c r="B270" s="3">
        <v>44830</v>
      </c>
      <c r="C270" s="2" t="s">
        <v>18</v>
      </c>
      <c r="D270" s="2" t="s">
        <v>9</v>
      </c>
      <c r="E270" s="2" t="s">
        <v>19</v>
      </c>
      <c r="F270" s="2">
        <v>9</v>
      </c>
      <c r="G270" s="2">
        <v>250</v>
      </c>
      <c r="H270" s="2">
        <f t="shared" si="4"/>
        <v>2250</v>
      </c>
    </row>
    <row r="271" spans="1:8" x14ac:dyDescent="0.25">
      <c r="A271" s="2">
        <v>270</v>
      </c>
      <c r="B271" s="3">
        <v>44831</v>
      </c>
      <c r="C271" s="2" t="s">
        <v>20</v>
      </c>
      <c r="D271" s="2" t="s">
        <v>9</v>
      </c>
      <c r="E271" s="2" t="s">
        <v>21</v>
      </c>
      <c r="F271" s="2">
        <v>8</v>
      </c>
      <c r="G271" s="2">
        <v>300</v>
      </c>
      <c r="H271" s="2">
        <f t="shared" si="4"/>
        <v>2400</v>
      </c>
    </row>
    <row r="272" spans="1:8" x14ac:dyDescent="0.25">
      <c r="A272" s="2">
        <v>271</v>
      </c>
      <c r="B272" s="3">
        <v>44832</v>
      </c>
      <c r="C272" s="2" t="s">
        <v>8</v>
      </c>
      <c r="D272" s="2" t="s">
        <v>9</v>
      </c>
      <c r="E272" s="2" t="s">
        <v>10</v>
      </c>
      <c r="F272" s="2">
        <v>7</v>
      </c>
      <c r="G272" s="2">
        <v>210</v>
      </c>
      <c r="H272" s="2">
        <f t="shared" si="4"/>
        <v>1470</v>
      </c>
    </row>
    <row r="273" spans="1:8" x14ac:dyDescent="0.25">
      <c r="A273" s="2">
        <v>272</v>
      </c>
      <c r="B273" s="3">
        <v>44833</v>
      </c>
      <c r="C273" s="2" t="s">
        <v>11</v>
      </c>
      <c r="D273" s="2" t="s">
        <v>12</v>
      </c>
      <c r="E273" s="2" t="s">
        <v>13</v>
      </c>
      <c r="F273" s="2">
        <v>3</v>
      </c>
      <c r="G273" s="2">
        <v>2000</v>
      </c>
      <c r="H273" s="2">
        <f t="shared" si="4"/>
        <v>6000</v>
      </c>
    </row>
    <row r="274" spans="1:8" x14ac:dyDescent="0.25">
      <c r="A274" s="2">
        <v>273</v>
      </c>
      <c r="B274" s="3">
        <v>44834</v>
      </c>
      <c r="C274" s="2" t="s">
        <v>14</v>
      </c>
      <c r="D274" s="2" t="s">
        <v>9</v>
      </c>
      <c r="E274" s="2" t="s">
        <v>15</v>
      </c>
      <c r="F274" s="2">
        <v>4</v>
      </c>
      <c r="G274" s="2">
        <v>2500</v>
      </c>
      <c r="H274" s="2">
        <f t="shared" si="4"/>
        <v>10000</v>
      </c>
    </row>
    <row r="275" spans="1:8" x14ac:dyDescent="0.25">
      <c r="A275" s="2">
        <v>274</v>
      </c>
      <c r="B275" s="3">
        <v>44835</v>
      </c>
      <c r="C275" s="2" t="s">
        <v>16</v>
      </c>
      <c r="D275" s="2" t="s">
        <v>12</v>
      </c>
      <c r="E275" s="2" t="s">
        <v>17</v>
      </c>
      <c r="F275" s="2">
        <v>7</v>
      </c>
      <c r="G275" s="2">
        <v>1000</v>
      </c>
      <c r="H275" s="2">
        <f t="shared" si="4"/>
        <v>7000</v>
      </c>
    </row>
    <row r="276" spans="1:8" x14ac:dyDescent="0.25">
      <c r="A276" s="2">
        <v>275</v>
      </c>
      <c r="B276" s="3">
        <v>44836</v>
      </c>
      <c r="C276" s="2" t="s">
        <v>18</v>
      </c>
      <c r="D276" s="2" t="s">
        <v>9</v>
      </c>
      <c r="E276" s="2" t="s">
        <v>19</v>
      </c>
      <c r="F276" s="2">
        <v>8</v>
      </c>
      <c r="G276" s="2">
        <v>250</v>
      </c>
      <c r="H276" s="2">
        <f t="shared" si="4"/>
        <v>2000</v>
      </c>
    </row>
    <row r="277" spans="1:8" x14ac:dyDescent="0.25">
      <c r="A277" s="2">
        <v>276</v>
      </c>
      <c r="B277" s="3">
        <v>44837</v>
      </c>
      <c r="C277" s="2" t="s">
        <v>20</v>
      </c>
      <c r="D277" s="2" t="s">
        <v>9</v>
      </c>
      <c r="E277" s="2" t="s">
        <v>21</v>
      </c>
      <c r="F277" s="2">
        <v>9</v>
      </c>
      <c r="G277" s="2">
        <v>300</v>
      </c>
      <c r="H277" s="2">
        <f t="shared" si="4"/>
        <v>2700</v>
      </c>
    </row>
    <row r="278" spans="1:8" x14ac:dyDescent="0.25">
      <c r="A278" s="2">
        <v>277</v>
      </c>
      <c r="B278" s="3">
        <v>44838</v>
      </c>
      <c r="C278" s="2" t="s">
        <v>8</v>
      </c>
      <c r="D278" s="2" t="s">
        <v>9</v>
      </c>
      <c r="E278" s="2" t="s">
        <v>10</v>
      </c>
      <c r="F278" s="2">
        <v>6</v>
      </c>
      <c r="G278" s="2">
        <v>210</v>
      </c>
      <c r="H278" s="2">
        <f t="shared" si="4"/>
        <v>1260</v>
      </c>
    </row>
    <row r="279" spans="1:8" x14ac:dyDescent="0.25">
      <c r="A279" s="2">
        <v>278</v>
      </c>
      <c r="B279" s="3">
        <v>44839</v>
      </c>
      <c r="C279" s="2" t="s">
        <v>11</v>
      </c>
      <c r="D279" s="2" t="s">
        <v>12</v>
      </c>
      <c r="E279" s="2" t="s">
        <v>13</v>
      </c>
      <c r="F279" s="2">
        <v>9</v>
      </c>
      <c r="G279" s="2">
        <v>2000</v>
      </c>
      <c r="H279" s="2">
        <f t="shared" si="4"/>
        <v>18000</v>
      </c>
    </row>
    <row r="280" spans="1:8" x14ac:dyDescent="0.25">
      <c r="A280" s="2">
        <v>279</v>
      </c>
      <c r="B280" s="3">
        <v>44840</v>
      </c>
      <c r="C280" s="2" t="s">
        <v>14</v>
      </c>
      <c r="D280" s="2" t="s">
        <v>9</v>
      </c>
      <c r="E280" s="2" t="s">
        <v>15</v>
      </c>
      <c r="F280" s="2">
        <v>9</v>
      </c>
      <c r="G280" s="2">
        <v>2500</v>
      </c>
      <c r="H280" s="2">
        <f t="shared" si="4"/>
        <v>22500</v>
      </c>
    </row>
    <row r="281" spans="1:8" x14ac:dyDescent="0.25">
      <c r="A281" s="2">
        <v>280</v>
      </c>
      <c r="B281" s="3">
        <v>44841</v>
      </c>
      <c r="C281" s="2" t="s">
        <v>16</v>
      </c>
      <c r="D281" s="2" t="s">
        <v>12</v>
      </c>
      <c r="E281" s="2" t="s">
        <v>17</v>
      </c>
      <c r="F281" s="2">
        <v>5</v>
      </c>
      <c r="G281" s="2">
        <v>1000</v>
      </c>
      <c r="H281" s="2">
        <f t="shared" si="4"/>
        <v>5000</v>
      </c>
    </row>
    <row r="282" spans="1:8" x14ac:dyDescent="0.25">
      <c r="A282" s="2">
        <v>281</v>
      </c>
      <c r="B282" s="3">
        <v>44842</v>
      </c>
      <c r="C282" s="2" t="s">
        <v>18</v>
      </c>
      <c r="D282" s="2" t="s">
        <v>9</v>
      </c>
      <c r="E282" s="2" t="s">
        <v>19</v>
      </c>
      <c r="F282" s="2">
        <v>3</v>
      </c>
      <c r="G282" s="2">
        <v>250</v>
      </c>
      <c r="H282" s="2">
        <f t="shared" si="4"/>
        <v>750</v>
      </c>
    </row>
    <row r="283" spans="1:8" x14ac:dyDescent="0.25">
      <c r="A283" s="2">
        <v>282</v>
      </c>
      <c r="B283" s="3">
        <v>44843</v>
      </c>
      <c r="C283" s="2" t="s">
        <v>20</v>
      </c>
      <c r="D283" s="2" t="s">
        <v>9</v>
      </c>
      <c r="E283" s="2" t="s">
        <v>21</v>
      </c>
      <c r="F283" s="2">
        <v>7</v>
      </c>
      <c r="G283" s="2">
        <v>300</v>
      </c>
      <c r="H283" s="2">
        <f t="shared" si="4"/>
        <v>2100</v>
      </c>
    </row>
    <row r="284" spans="1:8" x14ac:dyDescent="0.25">
      <c r="A284" s="2">
        <v>283</v>
      </c>
      <c r="B284" s="3">
        <v>44844</v>
      </c>
      <c r="C284" s="2" t="s">
        <v>8</v>
      </c>
      <c r="D284" s="2" t="s">
        <v>9</v>
      </c>
      <c r="E284" s="2" t="s">
        <v>10</v>
      </c>
      <c r="F284" s="2">
        <v>5</v>
      </c>
      <c r="G284" s="2">
        <v>210</v>
      </c>
      <c r="H284" s="2">
        <f t="shared" si="4"/>
        <v>1050</v>
      </c>
    </row>
    <row r="285" spans="1:8" x14ac:dyDescent="0.25">
      <c r="A285" s="2">
        <v>284</v>
      </c>
      <c r="B285" s="3">
        <v>44845</v>
      </c>
      <c r="C285" s="2" t="s">
        <v>11</v>
      </c>
      <c r="D285" s="2" t="s">
        <v>12</v>
      </c>
      <c r="E285" s="2" t="s">
        <v>13</v>
      </c>
      <c r="F285" s="2">
        <v>3</v>
      </c>
      <c r="G285" s="2">
        <v>2000</v>
      </c>
      <c r="H285" s="2">
        <f t="shared" si="4"/>
        <v>6000</v>
      </c>
    </row>
    <row r="286" spans="1:8" x14ac:dyDescent="0.25">
      <c r="A286" s="2">
        <v>285</v>
      </c>
      <c r="B286" s="3">
        <v>44846</v>
      </c>
      <c r="C286" s="2" t="s">
        <v>14</v>
      </c>
      <c r="D286" s="2" t="s">
        <v>9</v>
      </c>
      <c r="E286" s="2" t="s">
        <v>15</v>
      </c>
      <c r="F286" s="2">
        <v>9</v>
      </c>
      <c r="G286" s="2">
        <v>2500</v>
      </c>
      <c r="H286" s="2">
        <f t="shared" si="4"/>
        <v>22500</v>
      </c>
    </row>
    <row r="287" spans="1:8" x14ac:dyDescent="0.25">
      <c r="A287" s="2">
        <v>286</v>
      </c>
      <c r="B287" s="3">
        <v>44847</v>
      </c>
      <c r="C287" s="2" t="s">
        <v>16</v>
      </c>
      <c r="D287" s="2" t="s">
        <v>12</v>
      </c>
      <c r="E287" s="2" t="s">
        <v>17</v>
      </c>
      <c r="F287" s="2">
        <v>7</v>
      </c>
      <c r="G287" s="2">
        <v>1000</v>
      </c>
      <c r="H287" s="2">
        <f t="shared" si="4"/>
        <v>7000</v>
      </c>
    </row>
    <row r="288" spans="1:8" x14ac:dyDescent="0.25">
      <c r="A288" s="2">
        <v>287</v>
      </c>
      <c r="B288" s="3">
        <v>44848</v>
      </c>
      <c r="C288" s="2" t="s">
        <v>18</v>
      </c>
      <c r="D288" s="2" t="s">
        <v>9</v>
      </c>
      <c r="E288" s="2" t="s">
        <v>19</v>
      </c>
      <c r="F288" s="2">
        <v>6</v>
      </c>
      <c r="G288" s="2">
        <v>250</v>
      </c>
      <c r="H288" s="2">
        <f t="shared" si="4"/>
        <v>1500</v>
      </c>
    </row>
    <row r="289" spans="1:8" x14ac:dyDescent="0.25">
      <c r="A289" s="2">
        <v>288</v>
      </c>
      <c r="B289" s="3">
        <v>44849</v>
      </c>
      <c r="C289" s="2" t="s">
        <v>20</v>
      </c>
      <c r="D289" s="2" t="s">
        <v>9</v>
      </c>
      <c r="E289" s="2" t="s">
        <v>21</v>
      </c>
      <c r="F289" s="2">
        <v>5</v>
      </c>
      <c r="G289" s="2">
        <v>300</v>
      </c>
      <c r="H289" s="2">
        <f t="shared" si="4"/>
        <v>1500</v>
      </c>
    </row>
    <row r="290" spans="1:8" x14ac:dyDescent="0.25">
      <c r="A290" s="2">
        <v>289</v>
      </c>
      <c r="B290" s="3">
        <v>44850</v>
      </c>
      <c r="C290" s="2" t="s">
        <v>8</v>
      </c>
      <c r="D290" s="2" t="s">
        <v>9</v>
      </c>
      <c r="E290" s="2" t="s">
        <v>10</v>
      </c>
      <c r="F290" s="2">
        <v>5</v>
      </c>
      <c r="G290" s="2">
        <v>210</v>
      </c>
      <c r="H290" s="2">
        <f t="shared" si="4"/>
        <v>1050</v>
      </c>
    </row>
    <row r="291" spans="1:8" x14ac:dyDescent="0.25">
      <c r="A291" s="2">
        <v>290</v>
      </c>
      <c r="B291" s="3">
        <v>44851</v>
      </c>
      <c r="C291" s="2" t="s">
        <v>11</v>
      </c>
      <c r="D291" s="2" t="s">
        <v>12</v>
      </c>
      <c r="E291" s="2" t="s">
        <v>13</v>
      </c>
      <c r="F291" s="2">
        <v>6</v>
      </c>
      <c r="G291" s="2">
        <v>2000</v>
      </c>
      <c r="H291" s="2">
        <f t="shared" si="4"/>
        <v>12000</v>
      </c>
    </row>
    <row r="292" spans="1:8" x14ac:dyDescent="0.25">
      <c r="A292" s="2">
        <v>291</v>
      </c>
      <c r="B292" s="3">
        <v>44852</v>
      </c>
      <c r="C292" s="2" t="s">
        <v>14</v>
      </c>
      <c r="D292" s="2" t="s">
        <v>9</v>
      </c>
      <c r="E292" s="2" t="s">
        <v>15</v>
      </c>
      <c r="F292" s="2">
        <v>4</v>
      </c>
      <c r="G292" s="2">
        <v>2500</v>
      </c>
      <c r="H292" s="2">
        <f t="shared" si="4"/>
        <v>10000</v>
      </c>
    </row>
    <row r="293" spans="1:8" x14ac:dyDescent="0.25">
      <c r="A293" s="2">
        <v>292</v>
      </c>
      <c r="B293" s="3">
        <v>44853</v>
      </c>
      <c r="C293" s="2" t="s">
        <v>16</v>
      </c>
      <c r="D293" s="2" t="s">
        <v>12</v>
      </c>
      <c r="E293" s="2" t="s">
        <v>17</v>
      </c>
      <c r="F293" s="2">
        <v>9</v>
      </c>
      <c r="G293" s="2">
        <v>1000</v>
      </c>
      <c r="H293" s="2">
        <f t="shared" si="4"/>
        <v>9000</v>
      </c>
    </row>
    <row r="294" spans="1:8" x14ac:dyDescent="0.25">
      <c r="A294" s="2">
        <v>293</v>
      </c>
      <c r="B294" s="3">
        <v>44854</v>
      </c>
      <c r="C294" s="2" t="s">
        <v>18</v>
      </c>
      <c r="D294" s="2" t="s">
        <v>9</v>
      </c>
      <c r="E294" s="2" t="s">
        <v>19</v>
      </c>
      <c r="F294" s="2">
        <v>6</v>
      </c>
      <c r="G294" s="2">
        <v>250</v>
      </c>
      <c r="H294" s="2">
        <f t="shared" si="4"/>
        <v>1500</v>
      </c>
    </row>
    <row r="295" spans="1:8" x14ac:dyDescent="0.25">
      <c r="A295" s="2">
        <v>294</v>
      </c>
      <c r="B295" s="3">
        <v>44855</v>
      </c>
      <c r="C295" s="2" t="s">
        <v>20</v>
      </c>
      <c r="D295" s="2" t="s">
        <v>9</v>
      </c>
      <c r="E295" s="2" t="s">
        <v>21</v>
      </c>
      <c r="F295" s="2">
        <v>7</v>
      </c>
      <c r="G295" s="2">
        <v>300</v>
      </c>
      <c r="H295" s="2">
        <f t="shared" si="4"/>
        <v>2100</v>
      </c>
    </row>
    <row r="296" spans="1:8" x14ac:dyDescent="0.25">
      <c r="A296" s="2">
        <v>295</v>
      </c>
      <c r="B296" s="3">
        <v>44856</v>
      </c>
      <c r="C296" s="2" t="s">
        <v>8</v>
      </c>
      <c r="D296" s="2" t="s">
        <v>9</v>
      </c>
      <c r="E296" s="2" t="s">
        <v>10</v>
      </c>
      <c r="F296" s="2">
        <v>9</v>
      </c>
      <c r="G296" s="2">
        <v>210</v>
      </c>
      <c r="H296" s="2">
        <f t="shared" si="4"/>
        <v>1890</v>
      </c>
    </row>
    <row r="297" spans="1:8" x14ac:dyDescent="0.25">
      <c r="A297" s="2">
        <v>296</v>
      </c>
      <c r="B297" s="3">
        <v>44857</v>
      </c>
      <c r="C297" s="2" t="s">
        <v>11</v>
      </c>
      <c r="D297" s="2" t="s">
        <v>12</v>
      </c>
      <c r="E297" s="2" t="s">
        <v>13</v>
      </c>
      <c r="F297" s="2">
        <v>3</v>
      </c>
      <c r="G297" s="2">
        <v>2000</v>
      </c>
      <c r="H297" s="2">
        <f t="shared" si="4"/>
        <v>6000</v>
      </c>
    </row>
    <row r="298" spans="1:8" x14ac:dyDescent="0.25">
      <c r="A298" s="2">
        <v>297</v>
      </c>
      <c r="B298" s="3">
        <v>44858</v>
      </c>
      <c r="C298" s="2" t="s">
        <v>14</v>
      </c>
      <c r="D298" s="2" t="s">
        <v>9</v>
      </c>
      <c r="E298" s="2" t="s">
        <v>15</v>
      </c>
      <c r="F298" s="2">
        <v>5</v>
      </c>
      <c r="G298" s="2">
        <v>2500</v>
      </c>
      <c r="H298" s="2">
        <f t="shared" si="4"/>
        <v>12500</v>
      </c>
    </row>
    <row r="299" spans="1:8" x14ac:dyDescent="0.25">
      <c r="A299" s="2">
        <v>298</v>
      </c>
      <c r="B299" s="3">
        <v>44859</v>
      </c>
      <c r="C299" s="2" t="s">
        <v>16</v>
      </c>
      <c r="D299" s="2" t="s">
        <v>12</v>
      </c>
      <c r="E299" s="2" t="s">
        <v>17</v>
      </c>
      <c r="F299" s="2">
        <v>4</v>
      </c>
      <c r="G299" s="2">
        <v>1000</v>
      </c>
      <c r="H299" s="2">
        <f t="shared" si="4"/>
        <v>4000</v>
      </c>
    </row>
    <row r="300" spans="1:8" x14ac:dyDescent="0.25">
      <c r="A300" s="2">
        <v>299</v>
      </c>
      <c r="B300" s="3">
        <v>44860</v>
      </c>
      <c r="C300" s="2" t="s">
        <v>18</v>
      </c>
      <c r="D300" s="2" t="s">
        <v>9</v>
      </c>
      <c r="E300" s="2" t="s">
        <v>19</v>
      </c>
      <c r="F300" s="2">
        <v>4</v>
      </c>
      <c r="G300" s="2">
        <v>250</v>
      </c>
      <c r="H300" s="2">
        <f t="shared" si="4"/>
        <v>1000</v>
      </c>
    </row>
    <row r="301" spans="1:8" x14ac:dyDescent="0.25">
      <c r="A301" s="2">
        <v>300</v>
      </c>
      <c r="B301" s="3">
        <v>44861</v>
      </c>
      <c r="C301" s="2" t="s">
        <v>20</v>
      </c>
      <c r="D301" s="2" t="s">
        <v>9</v>
      </c>
      <c r="E301" s="2" t="s">
        <v>21</v>
      </c>
      <c r="F301" s="2">
        <v>3</v>
      </c>
      <c r="G301" s="2">
        <v>300</v>
      </c>
      <c r="H301" s="2">
        <f t="shared" si="4"/>
        <v>900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Sheet2</vt:lpstr>
      <vt:lpstr>Dashboard</vt:lpstr>
      <vt:lpstr>Sheet4</vt:lpstr>
      <vt:lpstr>Sheet3</vt:lpstr>
      <vt:lpstr>Sheet5</vt:lpstr>
      <vt:lpstr>Sheet6</vt:lpstr>
      <vt:lpstr>Sheet7</vt: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sagar singh saini</dc:creator>
  <cp:lastModifiedBy>DELL</cp:lastModifiedBy>
  <dcterms:created xsi:type="dcterms:W3CDTF">2026-03-13T05:47:24Z</dcterms:created>
  <dcterms:modified xsi:type="dcterms:W3CDTF">2026-03-15T09:38:43Z</dcterms:modified>
</cp:coreProperties>
</file>